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setupsys2025\setupsys2025\public\templates\"/>
    </mc:Choice>
  </mc:AlternateContent>
  <xr:revisionPtr revIDLastSave="0" documentId="13_ncr:1_{84E3148C-4588-4094-847E-4348B8EB12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" sheetId="40" r:id="rId1"/>
  </sheets>
  <definedNames>
    <definedName name="jmj">#REF!</definedName>
    <definedName name="per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2" i="40" l="1"/>
  <c r="AE24" i="40" s="1"/>
  <c r="AL16" i="40"/>
  <c r="AM13" i="40"/>
  <c r="AL12" i="40"/>
  <c r="AL11" i="40"/>
  <c r="AL13" i="40" l="1"/>
  <c r="AL15" i="40" l="1"/>
  <c r="AL18" i="40" s="1"/>
</calcChain>
</file>

<file path=xl/sharedStrings.xml><?xml version="1.0" encoding="utf-8"?>
<sst xmlns="http://schemas.openxmlformats.org/spreadsheetml/2006/main" count="47" uniqueCount="42">
  <si>
    <t>Republic of the Philippines</t>
  </si>
  <si>
    <t>REFUND SUMMARY</t>
  </si>
  <si>
    <t>Techno Transfer Fee</t>
  </si>
  <si>
    <t>Province</t>
  </si>
  <si>
    <t>Penalties</t>
  </si>
  <si>
    <t>Restructuring</t>
  </si>
  <si>
    <t>Particular</t>
  </si>
  <si>
    <t>Payment</t>
  </si>
  <si>
    <t>Project Status</t>
  </si>
  <si>
    <t>Small Enterprise Technology Upgrading Program (SETUP)</t>
  </si>
  <si>
    <t>Date:</t>
  </si>
  <si>
    <t>ACCOUNT OF:</t>
  </si>
  <si>
    <t>Cooperator</t>
  </si>
  <si>
    <t>Date Granted</t>
  </si>
  <si>
    <t>Actual amount to be Refunded:</t>
  </si>
  <si>
    <t>Amount of Assistance</t>
  </si>
  <si>
    <t>Project Title</t>
  </si>
  <si>
    <t>Original Refund Schedule</t>
  </si>
  <si>
    <t>Cost of Equipment Puchased</t>
  </si>
  <si>
    <t>Total</t>
  </si>
  <si>
    <t>Cooperator Name</t>
  </si>
  <si>
    <t>Total Payments</t>
  </si>
  <si>
    <t>Address</t>
  </si>
  <si>
    <t>Unpaid Balance</t>
  </si>
  <si>
    <t>Pulled-out Equipment</t>
  </si>
  <si>
    <t>1st Restructuring</t>
  </si>
  <si>
    <t>Assumed Equipment</t>
  </si>
  <si>
    <t>2nd Restructuring</t>
  </si>
  <si>
    <t>Due date of Liquidation</t>
  </si>
  <si>
    <t>3rd Restructuring</t>
  </si>
  <si>
    <t>Liquidation Status</t>
  </si>
  <si>
    <t>4th Restructuring</t>
  </si>
  <si>
    <t>5th Restructuring</t>
  </si>
  <si>
    <t>No. of months Past Due</t>
  </si>
  <si>
    <t>Due Date</t>
  </si>
  <si>
    <t>Monthly Due</t>
  </si>
  <si>
    <t>OR Date</t>
  </si>
  <si>
    <t>OR No.</t>
  </si>
  <si>
    <t>Name of Bank</t>
  </si>
  <si>
    <t>Check No.</t>
  </si>
  <si>
    <t>Check Date</t>
  </si>
  <si>
    <t>Account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</si>
</sst>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m&quot; &quot;d&quot;, &quot;yyyy"/>
    <numFmt numFmtId="165" formatCode="#,##0.00;\(#,##0.00\)"/>
    <numFmt numFmtId="167" formatCode="[$₱]#,##0.00"/>
    <numFmt numFmtId="168" formatCode="mmm\ d\,\ yyyy"/>
    <numFmt numFmtId="169" formatCode="mmm\ dd\ yyyy"/>
    <numFmt numFmtId="170" formatCode="mm/dd/yyyy\ h:mm"/>
    <numFmt numFmtId="171" formatCode="mmm\ d\ yyyy"/>
  </numFmts>
  <fonts count="3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theme="1"/>
      <name val="Arial"/>
      <family val="2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3"/>
      <color rgb="FF000000"/>
      <name val="Arial"/>
      <family val="2"/>
    </font>
    <font>
      <sz val="13"/>
      <color rgb="FF000000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8"/>
      <color rgb="FF000000"/>
      <name val="Arial"/>
      <family val="2"/>
    </font>
    <font>
      <sz val="6"/>
      <color rgb="FF000000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F0F0F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name val="Aptos Narrow"/>
      <family val="2"/>
    </font>
    <font>
      <b/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76A5AF"/>
        <bgColor rgb="FF76A5AF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right" vertical="center" wrapText="1"/>
    </xf>
    <xf numFmtId="0" fontId="3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 wrapText="1"/>
    </xf>
    <xf numFmtId="0" fontId="12" fillId="0" borderId="7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164" fontId="13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11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165" fontId="14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165" fontId="17" fillId="0" borderId="0" xfId="0" applyNumberFormat="1" applyFont="1" applyAlignment="1">
      <alignment horizontal="right" vertical="center" wrapText="1"/>
    </xf>
    <xf numFmtId="167" fontId="19" fillId="0" borderId="0" xfId="0" applyNumberFormat="1" applyFont="1" applyAlignment="1">
      <alignment horizontal="center" vertical="center" wrapText="1"/>
    </xf>
    <xf numFmtId="167" fontId="14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right" vertical="center" wrapText="1"/>
    </xf>
    <xf numFmtId="167" fontId="20" fillId="0" borderId="0" xfId="0" applyNumberFormat="1" applyFont="1" applyAlignment="1">
      <alignment horizontal="center" vertical="center" wrapText="1"/>
    </xf>
    <xf numFmtId="165" fontId="14" fillId="0" borderId="4" xfId="0" applyNumberFormat="1" applyFont="1" applyBorder="1" applyAlignment="1">
      <alignment horizontal="right" vertical="center" wrapText="1"/>
    </xf>
    <xf numFmtId="0" fontId="21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5" fontId="14" fillId="0" borderId="10" xfId="0" applyNumberFormat="1" applyFont="1" applyBorder="1" applyAlignment="1">
      <alignment horizontal="right" vertical="center" wrapText="1"/>
    </xf>
    <xf numFmtId="165" fontId="20" fillId="0" borderId="10" xfId="0" applyNumberFormat="1" applyFont="1" applyBorder="1" applyAlignment="1">
      <alignment horizontal="right" vertical="center" wrapText="1"/>
    </xf>
    <xf numFmtId="165" fontId="14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165" fontId="14" fillId="0" borderId="0" xfId="0" applyNumberFormat="1" applyFont="1" applyAlignment="1">
      <alignment vertical="center"/>
    </xf>
    <xf numFmtId="167" fontId="17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68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169" fontId="24" fillId="0" borderId="0" xfId="0" applyNumberFormat="1" applyFont="1" applyAlignment="1">
      <alignment horizontal="center" vertical="center" wrapText="1"/>
    </xf>
    <xf numFmtId="168" fontId="24" fillId="0" borderId="0" xfId="0" applyNumberFormat="1" applyFont="1" applyAlignment="1">
      <alignment horizontal="center" vertical="center" wrapText="1"/>
    </xf>
    <xf numFmtId="4" fontId="24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9" fontId="23" fillId="0" borderId="0" xfId="0" applyNumberFormat="1" applyFont="1" applyAlignment="1">
      <alignment horizontal="center" vertical="center" wrapText="1"/>
    </xf>
    <xf numFmtId="168" fontId="23" fillId="0" borderId="0" xfId="0" applyNumberFormat="1" applyFont="1" applyAlignment="1">
      <alignment horizontal="center" vertical="center" wrapText="1"/>
    </xf>
    <xf numFmtId="170" fontId="23" fillId="0" borderId="0" xfId="0" applyNumberFormat="1" applyFont="1" applyAlignment="1">
      <alignment horizontal="center" vertical="center" wrapText="1"/>
    </xf>
    <xf numFmtId="171" fontId="23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71" fontId="26" fillId="0" borderId="0" xfId="0" applyNumberFormat="1" applyFont="1" applyAlignment="1">
      <alignment horizontal="center" vertical="center" wrapText="1"/>
    </xf>
    <xf numFmtId="170" fontId="26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67" fontId="24" fillId="0" borderId="1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167" fontId="24" fillId="0" borderId="2" xfId="0" applyNumberFormat="1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7" fillId="3" borderId="12" xfId="0" applyFont="1" applyFill="1" applyBorder="1" applyAlignment="1">
      <alignment horizontal="center" vertical="center" wrapText="1"/>
    </xf>
    <xf numFmtId="0" fontId="29" fillId="0" borderId="13" xfId="0" applyFont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21" fillId="0" borderId="15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11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4" xfId="0" applyFont="1" applyBorder="1"/>
    <xf numFmtId="0" fontId="11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0" fillId="0" borderId="0" xfId="0"/>
    <xf numFmtId="0" fontId="2" fillId="0" borderId="8" xfId="0" applyFont="1" applyBorder="1"/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164" fontId="13" fillId="0" borderId="1" xfId="0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7" fontId="19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3</xdr:row>
      <xdr:rowOff>180975</xdr:rowOff>
    </xdr:from>
    <xdr:ext cx="6457950" cy="11239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D956"/>
  <sheetViews>
    <sheetView tabSelected="1" topLeftCell="A12" workbookViewId="0">
      <selection activeCell="T25" sqref="T25"/>
    </sheetView>
  </sheetViews>
  <sheetFormatPr defaultColWidth="12.6640625" defaultRowHeight="15" customHeight="1" x14ac:dyDescent="0.3"/>
  <cols>
    <col min="1" max="1" width="4.33203125" customWidth="1"/>
    <col min="2" max="2" width="5.77734375" customWidth="1"/>
    <col min="3" max="4" width="5.109375" customWidth="1"/>
    <col min="5" max="5" width="5.6640625" customWidth="1"/>
    <col min="6" max="8" width="3.88671875" customWidth="1"/>
    <col min="9" max="9" width="4.44140625" customWidth="1"/>
    <col min="10" max="10" width="6.6640625" customWidth="1"/>
    <col min="11" max="18" width="3.88671875" customWidth="1"/>
    <col min="19" max="19" width="10.77734375" customWidth="1"/>
    <col min="20" max="21" width="3.88671875" customWidth="1"/>
    <col min="22" max="22" width="4.88671875" customWidth="1"/>
    <col min="23" max="33" width="3.88671875" customWidth="1"/>
    <col min="34" max="34" width="3.109375" customWidth="1"/>
    <col min="35" max="35" width="0.44140625" customWidth="1"/>
    <col min="36" max="36" width="3.88671875" customWidth="1"/>
    <col min="37" max="37" width="23.77734375" customWidth="1"/>
    <col min="38" max="38" width="12.77734375" customWidth="1"/>
    <col min="39" max="39" width="11.44140625" customWidth="1"/>
    <col min="40" max="40" width="7.33203125" customWidth="1"/>
    <col min="41" max="56" width="3.88671875" customWidth="1"/>
  </cols>
  <sheetData>
    <row r="1" spans="1:56" ht="7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6"/>
      <c r="AM1" s="5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 spans="1:56" ht="7.5" customHeigh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  <c r="V2" s="10"/>
      <c r="W2" s="104" t="s">
        <v>1</v>
      </c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105"/>
      <c r="AJ2" s="4"/>
      <c r="AK2" s="5"/>
      <c r="AL2" s="6"/>
      <c r="AM2" s="5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 spans="1:56" ht="10.5" customHeight="1" x14ac:dyDescent="0.3">
      <c r="A3" s="11"/>
      <c r="B3" s="2"/>
      <c r="C3" s="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3"/>
      <c r="W3" s="106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3"/>
      <c r="AJ3" s="4"/>
      <c r="AK3" s="5"/>
      <c r="AL3" s="6"/>
      <c r="AM3" s="5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 spans="1:56" ht="21" x14ac:dyDescent="0.3">
      <c r="A4" s="11"/>
      <c r="B4" s="2"/>
      <c r="C4" s="1"/>
      <c r="D4" s="12"/>
      <c r="E4" s="110" t="s">
        <v>0</v>
      </c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2"/>
      <c r="S4" s="12"/>
      <c r="T4" s="12"/>
      <c r="U4" s="12"/>
      <c r="V4" s="13"/>
      <c r="W4" s="106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3"/>
      <c r="AJ4" s="4"/>
      <c r="AK4" s="5"/>
      <c r="AL4" s="6"/>
      <c r="AM4" s="5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</row>
    <row r="5" spans="1:56" ht="49.5" customHeight="1" x14ac:dyDescent="0.3">
      <c r="A5" s="14"/>
      <c r="B5" s="2"/>
      <c r="C5" s="1"/>
      <c r="D5" s="111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3"/>
      <c r="W5" s="106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3"/>
      <c r="AJ5" s="4"/>
      <c r="AK5" s="5"/>
      <c r="AL5" s="6"/>
      <c r="AM5" s="5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 spans="1:56" ht="15.75" customHeight="1" x14ac:dyDescent="0.3">
      <c r="A6" s="14"/>
      <c r="B6" s="2"/>
      <c r="C6" s="1"/>
      <c r="D6" s="11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3"/>
      <c r="W6" s="106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3"/>
      <c r="AJ6" s="4"/>
      <c r="AK6" s="5"/>
      <c r="AL6" s="6"/>
      <c r="AM6" s="5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 spans="1:56" ht="30" customHeight="1" x14ac:dyDescent="0.3">
      <c r="A7" s="14"/>
      <c r="B7" s="2"/>
      <c r="C7" s="2"/>
      <c r="D7" s="2"/>
      <c r="E7" s="113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"/>
      <c r="S7" s="1"/>
      <c r="T7" s="1"/>
      <c r="U7" s="1"/>
      <c r="V7" s="15"/>
      <c r="W7" s="107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9"/>
      <c r="AJ7" s="4"/>
      <c r="AK7" s="5"/>
      <c r="AL7" s="6"/>
      <c r="AM7" s="5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</row>
    <row r="8" spans="1:56" ht="15.75" customHeight="1" x14ac:dyDescent="0.3">
      <c r="A8" s="16"/>
      <c r="B8" s="17"/>
      <c r="C8" s="17"/>
      <c r="D8" s="17"/>
      <c r="E8" s="113" t="s">
        <v>9</v>
      </c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"/>
      <c r="S8" s="1"/>
      <c r="T8" s="1"/>
      <c r="U8" s="1"/>
      <c r="V8" s="15"/>
      <c r="W8" s="114" t="s">
        <v>10</v>
      </c>
      <c r="X8" s="90"/>
      <c r="Y8" s="90"/>
      <c r="Z8" s="90"/>
      <c r="AA8" s="90"/>
      <c r="AB8" s="90"/>
      <c r="AC8" s="115"/>
      <c r="AD8" s="90"/>
      <c r="AE8" s="90"/>
      <c r="AF8" s="90"/>
      <c r="AG8" s="90"/>
      <c r="AH8" s="90"/>
      <c r="AI8" s="91"/>
      <c r="AJ8" s="18"/>
      <c r="AK8" s="19"/>
      <c r="AL8" s="6"/>
      <c r="AM8" s="19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</row>
    <row r="9" spans="1:56" ht="9.75" customHeight="1" x14ac:dyDescent="0.3">
      <c r="A9" s="20"/>
      <c r="B9" s="21"/>
      <c r="C9" s="21"/>
      <c r="D9" s="21"/>
      <c r="E9" s="21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3"/>
      <c r="W9" s="24"/>
      <c r="X9" s="22"/>
      <c r="Y9" s="22"/>
      <c r="Z9" s="22"/>
      <c r="AA9" s="22"/>
      <c r="AB9" s="22"/>
      <c r="AC9" s="25"/>
      <c r="AD9" s="22"/>
      <c r="AE9" s="22"/>
      <c r="AF9" s="22"/>
      <c r="AG9" s="22"/>
      <c r="AH9" s="22"/>
      <c r="AI9" s="26"/>
      <c r="AJ9" s="1"/>
      <c r="AK9" s="27"/>
      <c r="AL9" s="28"/>
      <c r="AM9" s="27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ht="15.75" customHeight="1" x14ac:dyDescent="0.3">
      <c r="A10" s="116" t="s">
        <v>11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1"/>
      <c r="AJ10" s="29"/>
      <c r="AK10" s="5"/>
      <c r="AL10" s="6"/>
      <c r="AM10" s="5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</row>
    <row r="11" spans="1:56" ht="14.4" x14ac:dyDescent="0.3">
      <c r="A11" s="92" t="s">
        <v>12</v>
      </c>
      <c r="B11" s="90"/>
      <c r="C11" s="90"/>
      <c r="D11" s="90"/>
      <c r="E11" s="91"/>
      <c r="F11" s="100"/>
      <c r="G11" s="90"/>
      <c r="H11" s="90"/>
      <c r="I11" s="90"/>
      <c r="J11" s="90"/>
      <c r="K11" s="90"/>
      <c r="L11" s="90"/>
      <c r="M11" s="90"/>
      <c r="N11" s="90"/>
      <c r="O11" s="90"/>
      <c r="P11" s="91"/>
      <c r="Q11" s="98" t="s">
        <v>13</v>
      </c>
      <c r="R11" s="90"/>
      <c r="S11" s="91"/>
      <c r="T11" s="93"/>
      <c r="U11" s="90"/>
      <c r="V11" s="90"/>
      <c r="W11" s="90"/>
      <c r="X11" s="90"/>
      <c r="Y11" s="91"/>
      <c r="Z11" s="101" t="s">
        <v>14</v>
      </c>
      <c r="AA11" s="102"/>
      <c r="AB11" s="102"/>
      <c r="AC11" s="102"/>
      <c r="AD11" s="102"/>
      <c r="AE11" s="102"/>
      <c r="AF11" s="102"/>
      <c r="AG11" s="102"/>
      <c r="AH11" s="102"/>
      <c r="AI11" s="103"/>
      <c r="AJ11" s="30"/>
      <c r="AK11" s="31" t="s">
        <v>15</v>
      </c>
      <c r="AL11" s="32">
        <f>T12</f>
        <v>0</v>
      </c>
      <c r="AM11" s="31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</row>
    <row r="12" spans="1:56" ht="14.4" x14ac:dyDescent="0.3">
      <c r="A12" s="95" t="s">
        <v>16</v>
      </c>
      <c r="B12" s="90"/>
      <c r="C12" s="90"/>
      <c r="D12" s="90"/>
      <c r="E12" s="91"/>
      <c r="F12" s="89"/>
      <c r="G12" s="90"/>
      <c r="H12" s="90"/>
      <c r="I12" s="90"/>
      <c r="J12" s="90"/>
      <c r="K12" s="90"/>
      <c r="L12" s="90"/>
      <c r="M12" s="90"/>
      <c r="N12" s="90"/>
      <c r="O12" s="90"/>
      <c r="P12" s="91"/>
      <c r="Q12" s="98" t="s">
        <v>15</v>
      </c>
      <c r="R12" s="90"/>
      <c r="S12" s="91"/>
      <c r="T12" s="93"/>
      <c r="U12" s="90"/>
      <c r="V12" s="90"/>
      <c r="W12" s="90"/>
      <c r="X12" s="90"/>
      <c r="Y12" s="91"/>
      <c r="Z12" s="117">
        <f>T12+T14-T16+T17</f>
        <v>0</v>
      </c>
      <c r="AA12" s="102"/>
      <c r="AB12" s="102"/>
      <c r="AC12" s="102"/>
      <c r="AD12" s="102"/>
      <c r="AE12" s="102"/>
      <c r="AF12" s="102"/>
      <c r="AG12" s="102"/>
      <c r="AH12" s="102"/>
      <c r="AI12" s="103"/>
      <c r="AJ12" s="33"/>
      <c r="AK12" s="34" t="s">
        <v>2</v>
      </c>
      <c r="AL12" s="35">
        <f>T14</f>
        <v>0</v>
      </c>
      <c r="AM12" s="36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</row>
    <row r="13" spans="1:56" ht="14.4" x14ac:dyDescent="0.3">
      <c r="A13" s="95" t="s">
        <v>17</v>
      </c>
      <c r="B13" s="90"/>
      <c r="C13" s="90"/>
      <c r="D13" s="90"/>
      <c r="E13" s="91"/>
      <c r="F13" s="89"/>
      <c r="G13" s="90"/>
      <c r="H13" s="90"/>
      <c r="I13" s="90"/>
      <c r="J13" s="90"/>
      <c r="K13" s="90"/>
      <c r="L13" s="90"/>
      <c r="M13" s="90"/>
      <c r="N13" s="90"/>
      <c r="O13" s="90"/>
      <c r="P13" s="91"/>
      <c r="Q13" s="98" t="s">
        <v>18</v>
      </c>
      <c r="R13" s="90"/>
      <c r="S13" s="91"/>
      <c r="T13" s="93"/>
      <c r="U13" s="90"/>
      <c r="V13" s="90"/>
      <c r="W13" s="90"/>
      <c r="X13" s="90"/>
      <c r="Y13" s="91"/>
      <c r="Z13" s="102"/>
      <c r="AA13" s="102"/>
      <c r="AB13" s="102"/>
      <c r="AC13" s="102"/>
      <c r="AD13" s="102"/>
      <c r="AE13" s="102"/>
      <c r="AF13" s="102"/>
      <c r="AG13" s="102"/>
      <c r="AH13" s="102"/>
      <c r="AI13" s="103"/>
      <c r="AJ13" s="33"/>
      <c r="AK13" s="34" t="s">
        <v>19</v>
      </c>
      <c r="AL13" s="37">
        <f>SUM(AL11:AL12)</f>
        <v>0</v>
      </c>
      <c r="AM13" s="36">
        <f>AL72</f>
        <v>0</v>
      </c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</row>
    <row r="14" spans="1:56" ht="15.75" customHeight="1" x14ac:dyDescent="0.3">
      <c r="A14" s="95" t="s">
        <v>20</v>
      </c>
      <c r="B14" s="90"/>
      <c r="C14" s="90"/>
      <c r="D14" s="90"/>
      <c r="E14" s="91"/>
      <c r="F14" s="89"/>
      <c r="G14" s="90"/>
      <c r="H14" s="90"/>
      <c r="I14" s="90"/>
      <c r="J14" s="90"/>
      <c r="K14" s="90"/>
      <c r="L14" s="90"/>
      <c r="M14" s="90"/>
      <c r="N14" s="90"/>
      <c r="O14" s="90"/>
      <c r="P14" s="91"/>
      <c r="Q14" s="98" t="s">
        <v>2</v>
      </c>
      <c r="R14" s="90"/>
      <c r="S14" s="91"/>
      <c r="T14" s="93">
        <v>0</v>
      </c>
      <c r="U14" s="90"/>
      <c r="V14" s="90"/>
      <c r="W14" s="90"/>
      <c r="X14" s="90"/>
      <c r="Y14" s="91"/>
      <c r="Z14" s="102"/>
      <c r="AA14" s="102"/>
      <c r="AB14" s="102"/>
      <c r="AC14" s="102"/>
      <c r="AD14" s="102"/>
      <c r="AE14" s="102"/>
      <c r="AF14" s="102"/>
      <c r="AG14" s="102"/>
      <c r="AH14" s="102"/>
      <c r="AI14" s="103"/>
      <c r="AJ14" s="2"/>
      <c r="AK14" s="31" t="s">
        <v>21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 spans="1:56" ht="14.25" customHeight="1" x14ac:dyDescent="0.3">
      <c r="A15" s="95" t="s">
        <v>22</v>
      </c>
      <c r="B15" s="90"/>
      <c r="C15" s="90"/>
      <c r="D15" s="90"/>
      <c r="E15" s="91"/>
      <c r="F15" s="96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8" t="s">
        <v>3</v>
      </c>
      <c r="R15" s="90"/>
      <c r="S15" s="91"/>
      <c r="T15" s="93"/>
      <c r="U15" s="90"/>
      <c r="V15" s="90"/>
      <c r="W15" s="90"/>
      <c r="X15" s="90"/>
      <c r="Y15" s="91"/>
      <c r="Z15" s="102"/>
      <c r="AA15" s="102"/>
      <c r="AB15" s="102"/>
      <c r="AC15" s="102"/>
      <c r="AD15" s="102"/>
      <c r="AE15" s="102"/>
      <c r="AF15" s="102"/>
      <c r="AG15" s="102"/>
      <c r="AH15" s="102"/>
      <c r="AI15" s="103"/>
      <c r="AJ15" s="30"/>
      <c r="AK15" s="31" t="s">
        <v>23</v>
      </c>
      <c r="AL15" s="32">
        <f>AL13-AL14</f>
        <v>0</v>
      </c>
      <c r="AM15" s="31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</row>
    <row r="16" spans="1:56" ht="14.25" customHeight="1" x14ac:dyDescent="0.3">
      <c r="A16" s="92" t="s">
        <v>5</v>
      </c>
      <c r="B16" s="90"/>
      <c r="C16" s="90"/>
      <c r="D16" s="90"/>
      <c r="E16" s="91"/>
      <c r="F16" s="99"/>
      <c r="G16" s="90"/>
      <c r="H16" s="90"/>
      <c r="I16" s="90"/>
      <c r="J16" s="90"/>
      <c r="K16" s="90"/>
      <c r="L16" s="90"/>
      <c r="M16" s="90"/>
      <c r="N16" s="90"/>
      <c r="O16" s="90"/>
      <c r="P16" s="91"/>
      <c r="Q16" s="94" t="s">
        <v>24</v>
      </c>
      <c r="R16" s="90"/>
      <c r="S16" s="91"/>
      <c r="T16" s="93">
        <v>0</v>
      </c>
      <c r="U16" s="90"/>
      <c r="V16" s="90"/>
      <c r="W16" s="90"/>
      <c r="X16" s="90"/>
      <c r="Y16" s="91"/>
      <c r="Z16" s="102"/>
      <c r="AA16" s="102"/>
      <c r="AB16" s="102"/>
      <c r="AC16" s="102"/>
      <c r="AD16" s="102"/>
      <c r="AE16" s="102"/>
      <c r="AF16" s="102"/>
      <c r="AG16" s="102"/>
      <c r="AH16" s="102"/>
      <c r="AI16" s="103"/>
      <c r="AJ16" s="30"/>
      <c r="AK16" s="31" t="s">
        <v>24</v>
      </c>
      <c r="AL16" s="32">
        <f>-T16</f>
        <v>0</v>
      </c>
      <c r="AM16" s="31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</row>
    <row r="17" spans="1:56" ht="14.25" customHeight="1" x14ac:dyDescent="0.3">
      <c r="A17" s="86" t="s">
        <v>25</v>
      </c>
      <c r="B17" s="87"/>
      <c r="C17" s="87"/>
      <c r="D17" s="87"/>
      <c r="E17" s="88"/>
      <c r="F17" s="89"/>
      <c r="G17" s="90"/>
      <c r="H17" s="90"/>
      <c r="I17" s="90"/>
      <c r="J17" s="90"/>
      <c r="K17" s="90"/>
      <c r="L17" s="90"/>
      <c r="M17" s="90"/>
      <c r="N17" s="90"/>
      <c r="O17" s="90"/>
      <c r="P17" s="91"/>
      <c r="Q17" s="94" t="s">
        <v>26</v>
      </c>
      <c r="R17" s="90"/>
      <c r="S17" s="91"/>
      <c r="T17" s="93">
        <v>0</v>
      </c>
      <c r="U17" s="90"/>
      <c r="V17" s="90"/>
      <c r="W17" s="90"/>
      <c r="X17" s="90"/>
      <c r="Y17" s="91"/>
      <c r="Z17" s="102"/>
      <c r="AA17" s="102"/>
      <c r="AB17" s="102"/>
      <c r="AC17" s="102"/>
      <c r="AD17" s="102"/>
      <c r="AE17" s="102"/>
      <c r="AF17" s="102"/>
      <c r="AG17" s="102"/>
      <c r="AH17" s="102"/>
      <c r="AI17" s="103"/>
      <c r="AJ17" s="38"/>
      <c r="AK17" s="39" t="s">
        <v>4</v>
      </c>
      <c r="AL17" s="40"/>
      <c r="AM17" s="39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</row>
    <row r="18" spans="1:56" ht="14.25" customHeight="1" x14ac:dyDescent="0.3">
      <c r="A18" s="86" t="s">
        <v>27</v>
      </c>
      <c r="B18" s="87"/>
      <c r="C18" s="87"/>
      <c r="D18" s="87"/>
      <c r="E18" s="88"/>
      <c r="F18" s="89"/>
      <c r="G18" s="90"/>
      <c r="H18" s="90"/>
      <c r="I18" s="90"/>
      <c r="J18" s="90"/>
      <c r="K18" s="90"/>
      <c r="L18" s="90"/>
      <c r="M18" s="90"/>
      <c r="N18" s="90"/>
      <c r="O18" s="90"/>
      <c r="P18" s="91"/>
      <c r="Q18" s="94" t="s">
        <v>28</v>
      </c>
      <c r="R18" s="90"/>
      <c r="S18" s="91"/>
      <c r="T18" s="93"/>
      <c r="U18" s="90"/>
      <c r="V18" s="90"/>
      <c r="W18" s="90"/>
      <c r="X18" s="90"/>
      <c r="Y18" s="91"/>
      <c r="Z18" s="102"/>
      <c r="AA18" s="102"/>
      <c r="AB18" s="102"/>
      <c r="AC18" s="102"/>
      <c r="AD18" s="102"/>
      <c r="AE18" s="102"/>
      <c r="AF18" s="102"/>
      <c r="AG18" s="102"/>
      <c r="AH18" s="102"/>
      <c r="AI18" s="103"/>
      <c r="AJ18" s="38"/>
      <c r="AK18" s="39" t="s">
        <v>23</v>
      </c>
      <c r="AL18" s="41">
        <f>SUM(AL15:AL17)</f>
        <v>0</v>
      </c>
      <c r="AM18" s="42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</row>
    <row r="19" spans="1:56" ht="14.25" customHeight="1" x14ac:dyDescent="0.3">
      <c r="A19" s="86" t="s">
        <v>29</v>
      </c>
      <c r="B19" s="87"/>
      <c r="C19" s="87"/>
      <c r="D19" s="87"/>
      <c r="E19" s="88"/>
      <c r="F19" s="89"/>
      <c r="G19" s="90"/>
      <c r="H19" s="90"/>
      <c r="I19" s="90"/>
      <c r="J19" s="90"/>
      <c r="K19" s="90"/>
      <c r="L19" s="90"/>
      <c r="M19" s="90"/>
      <c r="N19" s="90"/>
      <c r="O19" s="90"/>
      <c r="P19" s="91"/>
      <c r="Q19" s="94" t="s">
        <v>30</v>
      </c>
      <c r="R19" s="90"/>
      <c r="S19" s="91"/>
      <c r="T19" s="93"/>
      <c r="U19" s="90"/>
      <c r="V19" s="90"/>
      <c r="W19" s="90"/>
      <c r="X19" s="90"/>
      <c r="Y19" s="91"/>
      <c r="Z19" s="102"/>
      <c r="AA19" s="102"/>
      <c r="AB19" s="102"/>
      <c r="AC19" s="102"/>
      <c r="AD19" s="102"/>
      <c r="AE19" s="102"/>
      <c r="AF19" s="102"/>
      <c r="AG19" s="102"/>
      <c r="AH19" s="102"/>
      <c r="AI19" s="103"/>
      <c r="AJ19" s="43"/>
      <c r="AK19" s="44"/>
      <c r="AL19" s="35"/>
      <c r="AM19" s="44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</row>
    <row r="20" spans="1:56" ht="14.25" customHeight="1" x14ac:dyDescent="0.3">
      <c r="A20" s="86" t="s">
        <v>31</v>
      </c>
      <c r="B20" s="87"/>
      <c r="C20" s="87"/>
      <c r="D20" s="87"/>
      <c r="E20" s="88"/>
      <c r="F20" s="89"/>
      <c r="G20" s="90"/>
      <c r="H20" s="90"/>
      <c r="I20" s="90"/>
      <c r="J20" s="90"/>
      <c r="K20" s="90"/>
      <c r="L20" s="90"/>
      <c r="M20" s="90"/>
      <c r="N20" s="90"/>
      <c r="O20" s="90"/>
      <c r="P20" s="91"/>
      <c r="Q20" s="94" t="s">
        <v>8</v>
      </c>
      <c r="R20" s="90"/>
      <c r="S20" s="91"/>
      <c r="T20" s="93"/>
      <c r="U20" s="90"/>
      <c r="V20" s="90"/>
      <c r="W20" s="90"/>
      <c r="X20" s="90"/>
      <c r="Y20" s="91"/>
      <c r="Z20" s="102"/>
      <c r="AA20" s="102"/>
      <c r="AB20" s="102"/>
      <c r="AC20" s="102"/>
      <c r="AD20" s="102"/>
      <c r="AE20" s="102"/>
      <c r="AF20" s="102"/>
      <c r="AG20" s="102"/>
      <c r="AH20" s="102"/>
      <c r="AI20" s="103"/>
      <c r="AJ20" s="43"/>
      <c r="AK20" s="45"/>
      <c r="AL20" s="46"/>
      <c r="AM20" s="44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</row>
    <row r="21" spans="1:56" ht="14.25" customHeight="1" x14ac:dyDescent="0.3">
      <c r="A21" s="86" t="s">
        <v>32</v>
      </c>
      <c r="B21" s="87"/>
      <c r="C21" s="87"/>
      <c r="D21" s="87"/>
      <c r="E21" s="88"/>
      <c r="F21" s="89"/>
      <c r="G21" s="90"/>
      <c r="H21" s="90"/>
      <c r="I21" s="90"/>
      <c r="J21" s="90"/>
      <c r="K21" s="90"/>
      <c r="L21" s="90"/>
      <c r="M21" s="90"/>
      <c r="N21" s="90"/>
      <c r="O21" s="90"/>
      <c r="P21" s="91"/>
      <c r="Q21" s="92" t="s">
        <v>33</v>
      </c>
      <c r="R21" s="90"/>
      <c r="S21" s="91"/>
      <c r="T21" s="93"/>
      <c r="U21" s="90"/>
      <c r="V21" s="90"/>
      <c r="W21" s="90"/>
      <c r="X21" s="90"/>
      <c r="Y21" s="91"/>
      <c r="Z21" s="108"/>
      <c r="AA21" s="108"/>
      <c r="AB21" s="108"/>
      <c r="AC21" s="108"/>
      <c r="AD21" s="108"/>
      <c r="AE21" s="108"/>
      <c r="AF21" s="108"/>
      <c r="AG21" s="108"/>
      <c r="AH21" s="108"/>
      <c r="AI21" s="109"/>
      <c r="AJ21" s="43"/>
      <c r="AK21" s="27"/>
      <c r="AL21" s="35"/>
      <c r="AM21" s="44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</row>
    <row r="22" spans="1:56" ht="14.25" customHeight="1" x14ac:dyDescent="0.3">
      <c r="A22" s="14"/>
      <c r="B22" s="2"/>
      <c r="C22" s="2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8"/>
      <c r="AJ22" s="2"/>
      <c r="AK22" s="27"/>
      <c r="AL22" s="49"/>
      <c r="AM22" s="45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ht="22.5" customHeight="1" x14ac:dyDescent="0.3">
      <c r="A23" s="80" t="s">
        <v>34</v>
      </c>
      <c r="B23" s="82"/>
      <c r="C23" s="80" t="s">
        <v>6</v>
      </c>
      <c r="D23" s="81"/>
      <c r="E23" s="82"/>
      <c r="F23" s="80" t="s">
        <v>35</v>
      </c>
      <c r="G23" s="81"/>
      <c r="H23" s="82"/>
      <c r="I23" s="80" t="s">
        <v>7</v>
      </c>
      <c r="J23" s="82"/>
      <c r="K23" s="80" t="s">
        <v>4</v>
      </c>
      <c r="L23" s="81"/>
      <c r="M23" s="82"/>
      <c r="N23" s="80" t="s">
        <v>36</v>
      </c>
      <c r="O23" s="81"/>
      <c r="P23" s="82"/>
      <c r="Q23" s="80" t="s">
        <v>37</v>
      </c>
      <c r="R23" s="81"/>
      <c r="S23" s="82"/>
      <c r="T23" s="83" t="s">
        <v>38</v>
      </c>
      <c r="U23" s="84"/>
      <c r="V23" s="85"/>
      <c r="W23" s="83" t="s">
        <v>39</v>
      </c>
      <c r="X23" s="84"/>
      <c r="Y23" s="84"/>
      <c r="Z23" s="85"/>
      <c r="AA23" s="83" t="s">
        <v>40</v>
      </c>
      <c r="AB23" s="84"/>
      <c r="AC23" s="84"/>
      <c r="AD23" s="85"/>
      <c r="AE23" s="80" t="s">
        <v>41</v>
      </c>
      <c r="AF23" s="81"/>
      <c r="AG23" s="81"/>
      <c r="AH23" s="81"/>
      <c r="AI23" s="82"/>
      <c r="AJ23" s="5"/>
      <c r="AK23" s="5"/>
      <c r="AL23" s="6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</row>
    <row r="24" spans="1:56" ht="24" customHeight="1" x14ac:dyDescent="0.3">
      <c r="A24" s="76"/>
      <c r="B24" s="74"/>
      <c r="C24" s="77"/>
      <c r="D24" s="73"/>
      <c r="E24" s="74"/>
      <c r="F24" s="78"/>
      <c r="G24" s="73"/>
      <c r="H24" s="74"/>
      <c r="I24" s="78"/>
      <c r="J24" s="74"/>
      <c r="K24" s="79"/>
      <c r="L24" s="73"/>
      <c r="M24" s="74"/>
      <c r="N24" s="79"/>
      <c r="O24" s="73"/>
      <c r="P24" s="74"/>
      <c r="Q24" s="79"/>
      <c r="R24" s="73"/>
      <c r="S24" s="74"/>
      <c r="T24" s="72"/>
      <c r="U24" s="73"/>
      <c r="V24" s="74"/>
      <c r="W24" s="72"/>
      <c r="X24" s="73"/>
      <c r="Y24" s="73"/>
      <c r="Z24" s="74"/>
      <c r="AA24" s="72"/>
      <c r="AB24" s="73"/>
      <c r="AC24" s="73"/>
      <c r="AD24" s="74"/>
      <c r="AE24" s="75">
        <f>Z12</f>
        <v>0</v>
      </c>
      <c r="AF24" s="73"/>
      <c r="AG24" s="73"/>
      <c r="AH24" s="73"/>
      <c r="AI24" s="74"/>
      <c r="AJ24" s="50"/>
      <c r="AK24" s="50"/>
      <c r="AL24" s="32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</row>
    <row r="25" spans="1:56" ht="15.75" customHeight="1" x14ac:dyDescent="0.3">
      <c r="A25" s="56"/>
      <c r="B25" s="56"/>
      <c r="C25" s="56"/>
      <c r="D25" s="55"/>
      <c r="E25" s="55"/>
      <c r="F25" s="55"/>
      <c r="G25" s="55"/>
      <c r="H25" s="55"/>
      <c r="I25" s="55"/>
      <c r="J25" s="55"/>
      <c r="K25" s="55"/>
      <c r="L25" s="55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1"/>
      <c r="AK25" s="31"/>
      <c r="AL25" s="32"/>
      <c r="AM25" s="3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</row>
    <row r="26" spans="1:56" ht="15.75" customHeight="1" x14ac:dyDescent="0.3">
      <c r="A26" s="56"/>
      <c r="B26" s="56"/>
      <c r="C26" s="56"/>
      <c r="D26" s="57"/>
      <c r="E26" s="58"/>
      <c r="F26" s="58"/>
      <c r="G26" s="58"/>
      <c r="H26" s="58"/>
      <c r="I26" s="58"/>
      <c r="J26" s="58"/>
      <c r="K26" s="58"/>
      <c r="L26" s="58"/>
      <c r="M26" s="56"/>
      <c r="N26" s="58"/>
      <c r="O26" s="58"/>
      <c r="P26" s="58"/>
      <c r="Q26" s="58"/>
      <c r="R26" s="58"/>
      <c r="S26" s="58"/>
      <c r="T26" s="59"/>
      <c r="U26" s="59"/>
      <c r="V26" s="58"/>
      <c r="W26" s="58"/>
      <c r="X26" s="58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2"/>
      <c r="AK26" s="45"/>
      <c r="AL26" s="32"/>
      <c r="AM26" s="45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spans="1:56" ht="14.25" customHeight="1" x14ac:dyDescent="0.3">
      <c r="A27" s="56"/>
      <c r="B27" s="56"/>
      <c r="C27" s="60"/>
      <c r="D27" s="61"/>
      <c r="E27" s="56"/>
      <c r="F27" s="56"/>
      <c r="G27" s="56"/>
      <c r="H27" s="56"/>
      <c r="I27" s="56"/>
      <c r="J27" s="56"/>
      <c r="K27" s="62"/>
      <c r="L27" s="56"/>
      <c r="M27" s="56"/>
      <c r="N27" s="58"/>
      <c r="O27" s="58"/>
      <c r="P27" s="59"/>
      <c r="Q27" s="58"/>
      <c r="R27" s="58"/>
      <c r="S27" s="58"/>
      <c r="T27" s="59"/>
      <c r="U27" s="59"/>
      <c r="V27" s="58"/>
      <c r="W27" s="58"/>
      <c r="X27" s="58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2"/>
      <c r="AK27" s="45"/>
      <c r="AL27" s="32"/>
      <c r="AM27" s="45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ht="15.75" customHeight="1" x14ac:dyDescent="0.3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62"/>
      <c r="L28" s="56"/>
      <c r="M28" s="56"/>
      <c r="N28" s="62"/>
      <c r="O28" s="56"/>
      <c r="P28" s="62"/>
      <c r="Q28" s="56"/>
      <c r="R28" s="56"/>
      <c r="S28" s="56"/>
      <c r="T28" s="62"/>
      <c r="U28" s="62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2"/>
      <c r="AK28" s="45"/>
      <c r="AL28" s="32"/>
      <c r="AM28" s="45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ht="15.75" customHeight="1" x14ac:dyDescent="0.3">
      <c r="A29" s="63"/>
      <c r="B29" s="63"/>
      <c r="C29" s="64"/>
      <c r="D29" s="65"/>
      <c r="E29" s="63"/>
      <c r="F29" s="65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52"/>
      <c r="AK29" s="53"/>
      <c r="AL29" s="35"/>
      <c r="AM29" s="53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</row>
    <row r="30" spans="1:56" ht="15.75" customHeight="1" x14ac:dyDescent="0.3">
      <c r="A30" s="63"/>
      <c r="B30" s="63"/>
      <c r="C30" s="64"/>
      <c r="D30" s="65"/>
      <c r="E30" s="63"/>
      <c r="F30" s="65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52"/>
      <c r="AK30" s="53"/>
      <c r="AL30" s="35"/>
      <c r="AM30" s="53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</row>
    <row r="31" spans="1:56" ht="15.75" customHeight="1" x14ac:dyDescent="0.3">
      <c r="A31" s="63"/>
      <c r="B31" s="63"/>
      <c r="C31" s="64"/>
      <c r="D31" s="65"/>
      <c r="E31" s="63"/>
      <c r="F31" s="65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52"/>
      <c r="AK31" s="53"/>
      <c r="AL31" s="35"/>
      <c r="AM31" s="53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</row>
    <row r="32" spans="1:56" ht="15.75" customHeight="1" x14ac:dyDescent="0.3">
      <c r="A32" s="63"/>
      <c r="B32" s="63"/>
      <c r="C32" s="64"/>
      <c r="D32" s="65"/>
      <c r="E32" s="63"/>
      <c r="F32" s="65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52"/>
      <c r="AK32" s="53"/>
      <c r="AL32" s="35"/>
      <c r="AM32" s="53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</row>
    <row r="33" spans="1:56" ht="15.75" customHeight="1" x14ac:dyDescent="0.3">
      <c r="A33" s="63"/>
      <c r="B33" s="63"/>
      <c r="C33" s="64"/>
      <c r="D33" s="65"/>
      <c r="E33" s="66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52"/>
      <c r="AK33" s="53"/>
      <c r="AL33" s="35"/>
      <c r="AM33" s="53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</row>
    <row r="34" spans="1:56" ht="15.75" customHeight="1" x14ac:dyDescent="0.3">
      <c r="A34" s="63"/>
      <c r="B34" s="63"/>
      <c r="C34" s="64"/>
      <c r="D34" s="65"/>
      <c r="E34" s="66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52"/>
      <c r="AK34" s="53"/>
      <c r="AL34" s="35"/>
      <c r="AM34" s="53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</row>
    <row r="35" spans="1:56" ht="15.75" customHeight="1" x14ac:dyDescent="0.3">
      <c r="A35" s="63"/>
      <c r="B35" s="63"/>
      <c r="C35" s="64"/>
      <c r="D35" s="65"/>
      <c r="E35" s="66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52"/>
      <c r="AK35" s="53"/>
      <c r="AL35" s="35"/>
      <c r="AM35" s="53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</row>
    <row r="36" spans="1:56" ht="15.75" customHeight="1" x14ac:dyDescent="0.3">
      <c r="A36" s="63"/>
      <c r="B36" s="63"/>
      <c r="C36" s="64"/>
      <c r="D36" s="65"/>
      <c r="E36" s="66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52"/>
      <c r="AK36" s="53"/>
      <c r="AL36" s="35"/>
      <c r="AM36" s="53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</row>
    <row r="37" spans="1:56" ht="15.75" customHeight="1" x14ac:dyDescent="0.3">
      <c r="A37" s="63"/>
      <c r="B37" s="63"/>
      <c r="C37" s="64"/>
      <c r="D37" s="65"/>
      <c r="E37" s="66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52"/>
      <c r="AK37" s="53"/>
      <c r="AL37" s="35"/>
      <c r="AM37" s="53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</row>
    <row r="38" spans="1:56" ht="15.75" customHeight="1" x14ac:dyDescent="0.3">
      <c r="A38" s="63"/>
      <c r="B38" s="63"/>
      <c r="C38" s="64"/>
      <c r="D38" s="65"/>
      <c r="E38" s="66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52"/>
      <c r="AK38" s="53"/>
      <c r="AL38" s="35"/>
      <c r="AM38" s="53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</row>
    <row r="39" spans="1:56" ht="15.75" customHeight="1" x14ac:dyDescent="0.3">
      <c r="A39" s="63"/>
      <c r="B39" s="63"/>
      <c r="C39" s="64"/>
      <c r="D39" s="65"/>
      <c r="E39" s="66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52"/>
      <c r="AK39" s="53"/>
      <c r="AL39" s="35"/>
      <c r="AM39" s="53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</row>
    <row r="40" spans="1:56" ht="15.75" customHeight="1" x14ac:dyDescent="0.3">
      <c r="A40" s="63"/>
      <c r="B40" s="63"/>
      <c r="C40" s="64"/>
      <c r="D40" s="65"/>
      <c r="E40" s="66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52"/>
      <c r="AK40" s="53"/>
      <c r="AL40" s="35"/>
      <c r="AM40" s="53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</row>
    <row r="41" spans="1:56" ht="15.75" customHeight="1" x14ac:dyDescent="0.3">
      <c r="A41" s="63"/>
      <c r="B41" s="63"/>
      <c r="C41" s="64"/>
      <c r="D41" s="65"/>
      <c r="E41" s="66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52"/>
      <c r="AK41" s="53"/>
      <c r="AL41" s="35"/>
      <c r="AM41" s="53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</row>
    <row r="42" spans="1:56" ht="15.75" customHeight="1" x14ac:dyDescent="0.3">
      <c r="A42" s="63"/>
      <c r="B42" s="63"/>
      <c r="C42" s="64"/>
      <c r="D42" s="65"/>
      <c r="E42" s="66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52"/>
      <c r="AK42" s="53"/>
      <c r="AL42" s="35"/>
      <c r="AM42" s="53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</row>
    <row r="43" spans="1:56" ht="15.75" customHeight="1" x14ac:dyDescent="0.3">
      <c r="A43" s="63"/>
      <c r="B43" s="63"/>
      <c r="C43" s="64"/>
      <c r="D43" s="65"/>
      <c r="E43" s="66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52"/>
      <c r="AK43" s="53"/>
      <c r="AL43" s="35"/>
      <c r="AM43" s="53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</row>
    <row r="44" spans="1:56" ht="15.75" customHeight="1" x14ac:dyDescent="0.3">
      <c r="A44" s="63"/>
      <c r="B44" s="63"/>
      <c r="C44" s="64"/>
      <c r="D44" s="65"/>
      <c r="E44" s="66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52"/>
      <c r="AK44" s="53"/>
      <c r="AL44" s="35"/>
      <c r="AM44" s="53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</row>
    <row r="45" spans="1:56" ht="15.75" customHeight="1" x14ac:dyDescent="0.3">
      <c r="A45" s="63"/>
      <c r="B45" s="63"/>
      <c r="C45" s="64"/>
      <c r="D45" s="65"/>
      <c r="E45" s="66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52"/>
      <c r="AK45" s="53"/>
      <c r="AL45" s="35"/>
      <c r="AM45" s="53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</row>
    <row r="46" spans="1:56" ht="15.75" customHeight="1" x14ac:dyDescent="0.3">
      <c r="A46" s="63"/>
      <c r="B46" s="63"/>
      <c r="C46" s="64"/>
      <c r="D46" s="65"/>
      <c r="E46" s="66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52"/>
      <c r="AK46" s="53"/>
      <c r="AL46" s="35"/>
      <c r="AM46" s="53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</row>
    <row r="47" spans="1:56" ht="15.75" customHeight="1" x14ac:dyDescent="0.3">
      <c r="A47" s="63"/>
      <c r="B47" s="63"/>
      <c r="C47" s="64"/>
      <c r="D47" s="63"/>
      <c r="E47" s="66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52"/>
      <c r="AK47" s="53"/>
      <c r="AL47" s="35"/>
      <c r="AM47" s="53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</row>
    <row r="48" spans="1:56" ht="15.75" customHeight="1" x14ac:dyDescent="0.3">
      <c r="A48" s="63"/>
      <c r="B48" s="63"/>
      <c r="C48" s="64"/>
      <c r="D48" s="63"/>
      <c r="E48" s="66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52"/>
      <c r="AK48" s="53"/>
      <c r="AL48" s="35"/>
      <c r="AM48" s="53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</row>
    <row r="49" spans="1:56" ht="15.75" customHeight="1" x14ac:dyDescent="0.3">
      <c r="A49" s="63"/>
      <c r="B49" s="63"/>
      <c r="C49" s="64"/>
      <c r="D49" s="63"/>
      <c r="E49" s="66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52"/>
      <c r="AK49" s="53"/>
      <c r="AL49" s="35"/>
      <c r="AM49" s="53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</row>
    <row r="50" spans="1:56" ht="15.75" customHeight="1" x14ac:dyDescent="0.3">
      <c r="A50" s="63"/>
      <c r="B50" s="63"/>
      <c r="C50" s="64"/>
      <c r="D50" s="63"/>
      <c r="E50" s="66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52"/>
      <c r="AK50" s="53"/>
      <c r="AL50" s="35"/>
      <c r="AM50" s="53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</row>
    <row r="51" spans="1:56" ht="15.75" customHeight="1" x14ac:dyDescent="0.3">
      <c r="A51" s="63"/>
      <c r="B51" s="63"/>
      <c r="C51" s="64"/>
      <c r="D51" s="63"/>
      <c r="E51" s="66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52"/>
      <c r="AK51" s="53"/>
      <c r="AL51" s="35"/>
      <c r="AM51" s="53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</row>
    <row r="52" spans="1:56" ht="15.75" customHeight="1" x14ac:dyDescent="0.3">
      <c r="A52" s="63"/>
      <c r="B52" s="63"/>
      <c r="C52" s="64"/>
      <c r="D52" s="63"/>
      <c r="E52" s="66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52"/>
      <c r="AK52" s="53"/>
      <c r="AL52" s="35"/>
      <c r="AM52" s="53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</row>
    <row r="53" spans="1:56" ht="15.75" customHeight="1" x14ac:dyDescent="0.3">
      <c r="A53" s="63"/>
      <c r="B53" s="63"/>
      <c r="C53" s="64"/>
      <c r="D53" s="63"/>
      <c r="E53" s="66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52"/>
      <c r="AK53" s="53"/>
      <c r="AL53" s="35"/>
      <c r="AM53" s="53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</row>
    <row r="54" spans="1:56" ht="15.75" customHeight="1" x14ac:dyDescent="0.3">
      <c r="A54" s="63"/>
      <c r="B54" s="63"/>
      <c r="C54" s="64"/>
      <c r="D54" s="63"/>
      <c r="E54" s="66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52"/>
      <c r="AK54" s="53"/>
      <c r="AL54" s="35"/>
      <c r="AM54" s="53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</row>
    <row r="55" spans="1:56" ht="15.75" customHeight="1" x14ac:dyDescent="0.3">
      <c r="A55" s="63"/>
      <c r="B55" s="63"/>
      <c r="C55" s="64"/>
      <c r="D55" s="63"/>
      <c r="E55" s="66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52"/>
      <c r="AK55" s="53"/>
      <c r="AL55" s="35"/>
      <c r="AM55" s="53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</row>
    <row r="56" spans="1:56" ht="15.75" customHeight="1" x14ac:dyDescent="0.3">
      <c r="A56" s="63"/>
      <c r="B56" s="63"/>
      <c r="C56" s="64"/>
      <c r="D56" s="63"/>
      <c r="E56" s="66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52"/>
      <c r="AK56" s="53"/>
      <c r="AL56" s="35"/>
      <c r="AM56" s="53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</row>
    <row r="57" spans="1:56" ht="15.75" customHeight="1" x14ac:dyDescent="0.3">
      <c r="A57" s="63"/>
      <c r="B57" s="63"/>
      <c r="C57" s="64"/>
      <c r="D57" s="63"/>
      <c r="E57" s="66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52"/>
      <c r="AK57" s="53"/>
      <c r="AL57" s="35"/>
      <c r="AM57" s="53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</row>
    <row r="58" spans="1:56" ht="15.75" customHeight="1" x14ac:dyDescent="0.3">
      <c r="A58" s="63"/>
      <c r="B58" s="63"/>
      <c r="C58" s="64"/>
      <c r="D58" s="63"/>
      <c r="E58" s="66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52"/>
      <c r="AK58" s="53"/>
      <c r="AL58" s="35"/>
      <c r="AM58" s="53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</row>
    <row r="59" spans="1:56" ht="15.75" customHeight="1" x14ac:dyDescent="0.3">
      <c r="A59" s="63"/>
      <c r="B59" s="63"/>
      <c r="C59" s="64"/>
      <c r="D59" s="63"/>
      <c r="E59" s="66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52"/>
      <c r="AK59" s="53"/>
      <c r="AL59" s="35"/>
      <c r="AM59" s="53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</row>
    <row r="60" spans="1:56" ht="15.75" customHeight="1" x14ac:dyDescent="0.3">
      <c r="A60" s="63"/>
      <c r="B60" s="63"/>
      <c r="C60" s="64"/>
      <c r="D60" s="63"/>
      <c r="E60" s="66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52"/>
      <c r="AK60" s="53"/>
      <c r="AL60" s="35"/>
      <c r="AM60" s="53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</row>
    <row r="61" spans="1:56" ht="15.75" customHeight="1" x14ac:dyDescent="0.3">
      <c r="A61" s="63"/>
      <c r="B61" s="63"/>
      <c r="C61" s="64"/>
      <c r="D61" s="63"/>
      <c r="E61" s="66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52"/>
      <c r="AK61" s="53"/>
      <c r="AL61" s="35"/>
      <c r="AM61" s="53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</row>
    <row r="62" spans="1:56" ht="15.75" customHeight="1" x14ac:dyDescent="0.3">
      <c r="A62" s="63"/>
      <c r="B62" s="63"/>
      <c r="C62" s="64"/>
      <c r="D62" s="63"/>
      <c r="E62" s="66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52"/>
      <c r="AK62" s="53"/>
      <c r="AL62" s="35"/>
      <c r="AM62" s="53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</row>
    <row r="63" spans="1:56" ht="15.75" customHeight="1" x14ac:dyDescent="0.3">
      <c r="A63" s="63"/>
      <c r="B63" s="63"/>
      <c r="C63" s="64"/>
      <c r="D63" s="63"/>
      <c r="E63" s="66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52"/>
      <c r="AK63" s="53"/>
      <c r="AL63" s="35"/>
      <c r="AM63" s="53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</row>
    <row r="64" spans="1:56" ht="15.75" customHeight="1" x14ac:dyDescent="0.3">
      <c r="A64" s="63"/>
      <c r="B64" s="63"/>
      <c r="C64" s="64"/>
      <c r="D64" s="63"/>
      <c r="E64" s="66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52"/>
      <c r="AK64" s="53"/>
      <c r="AL64" s="35"/>
      <c r="AM64" s="53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</row>
    <row r="65" spans="1:56" ht="15.75" customHeight="1" x14ac:dyDescent="0.3">
      <c r="A65" s="63"/>
      <c r="B65" s="63"/>
      <c r="C65" s="64"/>
      <c r="D65" s="63"/>
      <c r="E65" s="66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52"/>
      <c r="AK65" s="53"/>
      <c r="AL65" s="35"/>
      <c r="AM65" s="53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</row>
    <row r="66" spans="1:56" ht="15.75" customHeight="1" x14ac:dyDescent="0.3">
      <c r="A66" s="63"/>
      <c r="B66" s="63"/>
      <c r="C66" s="64"/>
      <c r="D66" s="63"/>
      <c r="E66" s="66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52"/>
      <c r="AK66" s="53"/>
      <c r="AL66" s="35"/>
      <c r="AM66" s="53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</row>
    <row r="67" spans="1:56" ht="15.75" customHeight="1" x14ac:dyDescent="0.3">
      <c r="A67" s="63"/>
      <c r="B67" s="63"/>
      <c r="C67" s="64"/>
      <c r="D67" s="63"/>
      <c r="E67" s="66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52"/>
      <c r="AK67" s="53"/>
      <c r="AL67" s="35"/>
      <c r="AM67" s="53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</row>
    <row r="68" spans="1:56" ht="15.75" customHeight="1" x14ac:dyDescent="0.3">
      <c r="A68" s="63"/>
      <c r="B68" s="63"/>
      <c r="C68" s="64"/>
      <c r="D68" s="63"/>
      <c r="E68" s="66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52"/>
      <c r="AK68" s="53"/>
      <c r="AL68" s="35"/>
      <c r="AM68" s="53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</row>
    <row r="69" spans="1:56" ht="15.75" customHeight="1" x14ac:dyDescent="0.3">
      <c r="A69" s="63"/>
      <c r="B69" s="63"/>
      <c r="C69" s="64"/>
      <c r="D69" s="63"/>
      <c r="E69" s="66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52"/>
      <c r="AK69" s="53"/>
      <c r="AL69" s="35"/>
      <c r="AM69" s="53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</row>
    <row r="70" spans="1:56" ht="15.75" customHeight="1" x14ac:dyDescent="0.3">
      <c r="A70" s="63"/>
      <c r="B70" s="63"/>
      <c r="C70" s="64"/>
      <c r="D70" s="63"/>
      <c r="E70" s="66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52"/>
      <c r="AK70" s="53"/>
      <c r="AL70" s="35"/>
      <c r="AM70" s="53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</row>
    <row r="71" spans="1:56" ht="15.75" customHeight="1" x14ac:dyDescent="0.3">
      <c r="A71" s="63"/>
      <c r="B71" s="63"/>
      <c r="C71" s="64"/>
      <c r="D71" s="63"/>
      <c r="E71" s="66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52"/>
      <c r="AK71" s="53"/>
      <c r="AL71" s="35"/>
      <c r="AM71" s="53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</row>
    <row r="72" spans="1:56" ht="15.75" customHeight="1" x14ac:dyDescent="0.3">
      <c r="A72" s="63"/>
      <c r="B72" s="63"/>
      <c r="C72" s="64"/>
      <c r="D72" s="63"/>
      <c r="E72" s="66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52"/>
      <c r="AK72" s="53"/>
      <c r="AL72" s="35"/>
      <c r="AM72" s="53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</row>
    <row r="73" spans="1:56" ht="15.75" customHeight="1" x14ac:dyDescent="0.3">
      <c r="A73" s="63"/>
      <c r="B73" s="63"/>
      <c r="C73" s="64"/>
      <c r="D73" s="63"/>
      <c r="E73" s="66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52"/>
      <c r="AK73" s="53"/>
      <c r="AL73" s="35"/>
      <c r="AM73" s="53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</row>
    <row r="74" spans="1:56" ht="15.75" customHeight="1" x14ac:dyDescent="0.3">
      <c r="A74" s="63"/>
      <c r="B74" s="63"/>
      <c r="C74" s="64"/>
      <c r="D74" s="63"/>
      <c r="E74" s="66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52"/>
      <c r="AK74" s="53"/>
      <c r="AL74" s="35"/>
      <c r="AM74" s="53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</row>
    <row r="75" spans="1:56" ht="15.75" customHeight="1" x14ac:dyDescent="0.3">
      <c r="A75" s="63"/>
      <c r="B75" s="63"/>
      <c r="C75" s="64"/>
      <c r="D75" s="63"/>
      <c r="E75" s="66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52"/>
      <c r="AK75" s="53"/>
      <c r="AL75" s="35"/>
      <c r="AM75" s="53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</row>
    <row r="76" spans="1:56" ht="15.75" customHeight="1" x14ac:dyDescent="0.3">
      <c r="A76" s="63"/>
      <c r="B76" s="63"/>
      <c r="C76" s="64"/>
      <c r="D76" s="63"/>
      <c r="E76" s="66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52"/>
      <c r="AK76" s="53"/>
      <c r="AL76" s="35"/>
      <c r="AM76" s="53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</row>
    <row r="77" spans="1:56" ht="15.75" customHeight="1" x14ac:dyDescent="0.3">
      <c r="A77" s="63"/>
      <c r="B77" s="63"/>
      <c r="C77" s="64"/>
      <c r="D77" s="63"/>
      <c r="E77" s="66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52"/>
      <c r="AK77" s="53"/>
      <c r="AL77" s="35"/>
      <c r="AM77" s="53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</row>
    <row r="78" spans="1:56" ht="15.75" customHeight="1" x14ac:dyDescent="0.3">
      <c r="A78" s="63"/>
      <c r="B78" s="63"/>
      <c r="C78" s="64"/>
      <c r="D78" s="63"/>
      <c r="E78" s="66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52"/>
      <c r="AK78" s="53"/>
      <c r="AL78" s="35"/>
      <c r="AM78" s="53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</row>
    <row r="79" spans="1:56" ht="15.75" customHeight="1" x14ac:dyDescent="0.3">
      <c r="A79" s="63"/>
      <c r="B79" s="63"/>
      <c r="C79" s="64"/>
      <c r="D79" s="63"/>
      <c r="E79" s="66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52"/>
      <c r="AK79" s="53"/>
      <c r="AL79" s="35"/>
      <c r="AM79" s="53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</row>
    <row r="80" spans="1:56" ht="15.75" customHeight="1" x14ac:dyDescent="0.3">
      <c r="A80" s="63"/>
      <c r="B80" s="63"/>
      <c r="C80" s="64"/>
      <c r="D80" s="63"/>
      <c r="E80" s="66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52"/>
      <c r="AK80" s="53"/>
      <c r="AL80" s="35"/>
      <c r="AM80" s="53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</row>
    <row r="81" spans="1:56" ht="15.75" customHeight="1" x14ac:dyDescent="0.3">
      <c r="A81" s="63"/>
      <c r="B81" s="63"/>
      <c r="C81" s="64"/>
      <c r="D81" s="63"/>
      <c r="E81" s="66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52"/>
      <c r="AK81" s="53"/>
      <c r="AL81" s="35"/>
      <c r="AM81" s="53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</row>
    <row r="82" spans="1:56" ht="15.75" customHeight="1" x14ac:dyDescent="0.3">
      <c r="A82" s="63"/>
      <c r="B82" s="63"/>
      <c r="C82" s="64"/>
      <c r="D82" s="63"/>
      <c r="E82" s="66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52"/>
      <c r="AK82" s="53"/>
      <c r="AL82" s="35"/>
      <c r="AM82" s="53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</row>
    <row r="83" spans="1:56" ht="15.75" customHeight="1" x14ac:dyDescent="0.3">
      <c r="A83" s="63"/>
      <c r="B83" s="63"/>
      <c r="C83" s="64"/>
      <c r="D83" s="63"/>
      <c r="E83" s="66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52"/>
      <c r="AK83" s="53"/>
      <c r="AL83" s="35"/>
      <c r="AM83" s="53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</row>
    <row r="84" spans="1:56" ht="15.75" customHeight="1" x14ac:dyDescent="0.3">
      <c r="A84" s="63"/>
      <c r="B84" s="63"/>
      <c r="C84" s="64"/>
      <c r="D84" s="63"/>
      <c r="E84" s="66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52"/>
      <c r="AK84" s="53"/>
      <c r="AL84" s="35"/>
      <c r="AM84" s="53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</row>
    <row r="85" spans="1:56" ht="15.75" customHeight="1" x14ac:dyDescent="0.3">
      <c r="A85" s="63"/>
      <c r="B85" s="63"/>
      <c r="C85" s="64"/>
      <c r="D85" s="63"/>
      <c r="E85" s="66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52"/>
      <c r="AK85" s="53"/>
      <c r="AL85" s="35"/>
      <c r="AM85" s="53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</row>
    <row r="86" spans="1:56" ht="15.75" customHeight="1" x14ac:dyDescent="0.3">
      <c r="A86" s="63"/>
      <c r="B86" s="63"/>
      <c r="C86" s="67"/>
      <c r="D86" s="63"/>
      <c r="E86" s="66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52"/>
      <c r="AK86" s="53"/>
      <c r="AL86" s="35"/>
      <c r="AM86" s="53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</row>
    <row r="87" spans="1:56" ht="15.75" customHeight="1" x14ac:dyDescent="0.3">
      <c r="A87" s="63"/>
      <c r="B87" s="63"/>
      <c r="C87" s="67"/>
      <c r="D87" s="63"/>
      <c r="E87" s="66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52"/>
      <c r="AK87" s="53"/>
      <c r="AL87" s="35"/>
      <c r="AM87" s="53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</row>
    <row r="88" spans="1:56" ht="15.75" customHeight="1" x14ac:dyDescent="0.3">
      <c r="A88" s="63"/>
      <c r="B88" s="63"/>
      <c r="C88" s="67"/>
      <c r="D88" s="63"/>
      <c r="E88" s="66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52"/>
      <c r="AK88" s="53"/>
      <c r="AL88" s="35"/>
      <c r="AM88" s="53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</row>
    <row r="89" spans="1:56" ht="15.75" customHeight="1" x14ac:dyDescent="0.3">
      <c r="A89" s="63"/>
      <c r="B89" s="63"/>
      <c r="C89" s="67"/>
      <c r="D89" s="63"/>
      <c r="E89" s="66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52"/>
      <c r="AK89" s="53"/>
      <c r="AL89" s="35"/>
      <c r="AM89" s="53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</row>
    <row r="90" spans="1:56" ht="15.75" customHeight="1" x14ac:dyDescent="0.3">
      <c r="A90" s="63"/>
      <c r="B90" s="63"/>
      <c r="C90" s="67"/>
      <c r="D90" s="63"/>
      <c r="E90" s="66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52"/>
      <c r="AK90" s="53"/>
      <c r="AL90" s="35"/>
      <c r="AM90" s="53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</row>
    <row r="91" spans="1:56" ht="15.75" customHeight="1" x14ac:dyDescent="0.3">
      <c r="A91" s="63"/>
      <c r="B91" s="63"/>
      <c r="C91" s="67"/>
      <c r="D91" s="63"/>
      <c r="E91" s="66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52"/>
      <c r="AK91" s="53"/>
      <c r="AL91" s="35"/>
      <c r="AM91" s="53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</row>
    <row r="92" spans="1:56" ht="15.75" customHeight="1" x14ac:dyDescent="0.3">
      <c r="A92" s="63"/>
      <c r="B92" s="63"/>
      <c r="C92" s="67"/>
      <c r="D92" s="63"/>
      <c r="E92" s="66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52"/>
      <c r="AK92" s="53"/>
      <c r="AL92" s="35"/>
      <c r="AM92" s="53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</row>
    <row r="93" spans="1:56" ht="15.75" customHeight="1" x14ac:dyDescent="0.3">
      <c r="A93" s="63"/>
      <c r="B93" s="63"/>
      <c r="C93" s="67"/>
      <c r="D93" s="63"/>
      <c r="E93" s="66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52"/>
      <c r="AK93" s="53"/>
      <c r="AL93" s="35"/>
      <c r="AM93" s="53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</row>
    <row r="94" spans="1:56" ht="15.75" customHeight="1" x14ac:dyDescent="0.3">
      <c r="A94" s="63"/>
      <c r="B94" s="63"/>
      <c r="C94" s="67"/>
      <c r="D94" s="63"/>
      <c r="E94" s="66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52"/>
      <c r="AK94" s="53"/>
      <c r="AL94" s="35"/>
      <c r="AM94" s="53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</row>
    <row r="95" spans="1:56" ht="15.75" customHeight="1" x14ac:dyDescent="0.3">
      <c r="A95" s="63"/>
      <c r="B95" s="63"/>
      <c r="C95" s="67"/>
      <c r="D95" s="63"/>
      <c r="E95" s="66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52"/>
      <c r="AK95" s="53"/>
      <c r="AL95" s="35"/>
      <c r="AM95" s="53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</row>
    <row r="96" spans="1:56" ht="15.75" customHeight="1" x14ac:dyDescent="0.3">
      <c r="A96" s="63"/>
      <c r="B96" s="63"/>
      <c r="C96" s="67"/>
      <c r="D96" s="63"/>
      <c r="E96" s="66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52"/>
      <c r="AK96" s="53"/>
      <c r="AL96" s="35"/>
      <c r="AM96" s="53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</row>
    <row r="97" spans="1:56" ht="15.75" customHeight="1" x14ac:dyDescent="0.3">
      <c r="A97" s="63"/>
      <c r="B97" s="63"/>
      <c r="C97" s="67"/>
      <c r="D97" s="63"/>
      <c r="E97" s="66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52"/>
      <c r="AK97" s="53"/>
      <c r="AL97" s="35"/>
      <c r="AM97" s="53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</row>
    <row r="98" spans="1:56" ht="15.75" customHeight="1" x14ac:dyDescent="0.3">
      <c r="A98" s="63"/>
      <c r="B98" s="63"/>
      <c r="C98" s="67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52"/>
      <c r="AK98" s="53"/>
      <c r="AL98" s="35"/>
      <c r="AM98" s="53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</row>
    <row r="99" spans="1:56" ht="15.75" customHeight="1" x14ac:dyDescent="0.3">
      <c r="A99" s="63"/>
      <c r="B99" s="63"/>
      <c r="C99" s="67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52"/>
      <c r="AK99" s="53"/>
      <c r="AL99" s="35"/>
      <c r="AM99" s="53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</row>
    <row r="100" spans="1:56" ht="15.75" customHeight="1" x14ac:dyDescent="0.3">
      <c r="A100" s="63"/>
      <c r="B100" s="63"/>
      <c r="C100" s="67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52"/>
      <c r="AK100" s="53"/>
      <c r="AL100" s="35"/>
      <c r="AM100" s="53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</row>
    <row r="101" spans="1:56" ht="15.75" customHeight="1" x14ac:dyDescent="0.3">
      <c r="A101" s="63"/>
      <c r="B101" s="63"/>
      <c r="C101" s="67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52"/>
      <c r="AK101" s="53"/>
      <c r="AL101" s="35"/>
      <c r="AM101" s="53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</row>
    <row r="102" spans="1:56" ht="15.75" customHeight="1" x14ac:dyDescent="0.3">
      <c r="A102" s="63"/>
      <c r="B102" s="63"/>
      <c r="C102" s="67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52"/>
      <c r="AK102" s="53"/>
      <c r="AL102" s="35"/>
      <c r="AM102" s="53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</row>
    <row r="103" spans="1:56" ht="15.75" customHeight="1" x14ac:dyDescent="0.3">
      <c r="A103" s="63"/>
      <c r="B103" s="63"/>
      <c r="C103" s="67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52"/>
      <c r="AK103" s="53"/>
      <c r="AL103" s="35"/>
      <c r="AM103" s="53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</row>
    <row r="104" spans="1:56" ht="15.75" customHeight="1" x14ac:dyDescent="0.3">
      <c r="A104" s="63"/>
      <c r="B104" s="63"/>
      <c r="C104" s="67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52"/>
      <c r="AK104" s="53"/>
      <c r="AL104" s="35"/>
      <c r="AM104" s="53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</row>
    <row r="105" spans="1:56" ht="15.75" customHeight="1" x14ac:dyDescent="0.3">
      <c r="A105" s="63"/>
      <c r="B105" s="63"/>
      <c r="C105" s="67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52"/>
      <c r="AK105" s="53"/>
      <c r="AL105" s="35"/>
      <c r="AM105" s="53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</row>
    <row r="106" spans="1:56" ht="15.75" customHeight="1" x14ac:dyDescent="0.3">
      <c r="A106" s="63"/>
      <c r="B106" s="63"/>
      <c r="C106" s="67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52"/>
      <c r="AK106" s="53"/>
      <c r="AL106" s="35"/>
      <c r="AM106" s="53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</row>
    <row r="107" spans="1:56" ht="15.75" customHeight="1" x14ac:dyDescent="0.3">
      <c r="A107" s="63"/>
      <c r="B107" s="63"/>
      <c r="C107" s="67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52"/>
      <c r="AK107" s="53"/>
      <c r="AL107" s="35"/>
      <c r="AM107" s="53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</row>
    <row r="108" spans="1:56" ht="15.75" customHeight="1" x14ac:dyDescent="0.3">
      <c r="A108" s="63"/>
      <c r="B108" s="63"/>
      <c r="C108" s="67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52"/>
      <c r="AK108" s="53"/>
      <c r="AL108" s="35"/>
      <c r="AM108" s="53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</row>
    <row r="109" spans="1:56" ht="15.75" customHeight="1" x14ac:dyDescent="0.3">
      <c r="A109" s="63"/>
      <c r="B109" s="63"/>
      <c r="C109" s="67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52"/>
      <c r="AK109" s="53"/>
      <c r="AL109" s="35"/>
      <c r="AM109" s="53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</row>
    <row r="110" spans="1:56" ht="15.75" customHeight="1" x14ac:dyDescent="0.3">
      <c r="A110" s="63"/>
      <c r="B110" s="63"/>
      <c r="C110" s="67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52"/>
      <c r="AK110" s="53"/>
      <c r="AL110" s="35"/>
      <c r="AM110" s="53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</row>
    <row r="111" spans="1:56" ht="15.75" customHeight="1" x14ac:dyDescent="0.3">
      <c r="A111" s="63"/>
      <c r="B111" s="63"/>
      <c r="C111" s="67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52"/>
      <c r="AK111" s="53"/>
      <c r="AL111" s="35"/>
      <c r="AM111" s="53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</row>
    <row r="112" spans="1:56" ht="15.75" customHeight="1" x14ac:dyDescent="0.3">
      <c r="A112" s="63"/>
      <c r="B112" s="63"/>
      <c r="C112" s="67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52"/>
      <c r="AK112" s="53"/>
      <c r="AL112" s="35"/>
      <c r="AM112" s="53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</row>
    <row r="113" spans="1:56" ht="15.75" customHeight="1" x14ac:dyDescent="0.3">
      <c r="A113" s="63"/>
      <c r="B113" s="63"/>
      <c r="C113" s="67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52"/>
      <c r="AK113" s="53"/>
      <c r="AL113" s="35"/>
      <c r="AM113" s="53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</row>
    <row r="114" spans="1:56" ht="15.75" customHeight="1" x14ac:dyDescent="0.3">
      <c r="A114" s="63"/>
      <c r="B114" s="63"/>
      <c r="C114" s="67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52"/>
      <c r="AK114" s="53"/>
      <c r="AL114" s="35"/>
      <c r="AM114" s="53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</row>
    <row r="115" spans="1:56" ht="15.75" customHeight="1" x14ac:dyDescent="0.3">
      <c r="A115" s="63"/>
      <c r="B115" s="63"/>
      <c r="C115" s="67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52"/>
      <c r="AK115" s="53"/>
      <c r="AL115" s="35"/>
      <c r="AM115" s="53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</row>
    <row r="116" spans="1:56" ht="15.75" customHeight="1" x14ac:dyDescent="0.3">
      <c r="A116" s="63"/>
      <c r="B116" s="63"/>
      <c r="C116" s="67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52"/>
      <c r="AK116" s="53"/>
      <c r="AL116" s="35"/>
      <c r="AM116" s="53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</row>
    <row r="117" spans="1:56" ht="15.75" customHeight="1" x14ac:dyDescent="0.3">
      <c r="A117" s="63"/>
      <c r="B117" s="63"/>
      <c r="C117" s="67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52"/>
      <c r="AK117" s="53"/>
      <c r="AL117" s="35"/>
      <c r="AM117" s="53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</row>
    <row r="118" spans="1:56" ht="15.75" customHeight="1" x14ac:dyDescent="0.3">
      <c r="A118" s="63"/>
      <c r="B118" s="63"/>
      <c r="C118" s="67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52"/>
      <c r="AK118" s="53"/>
      <c r="AL118" s="35"/>
      <c r="AM118" s="53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</row>
    <row r="119" spans="1:56" ht="15.75" customHeight="1" x14ac:dyDescent="0.3">
      <c r="A119" s="63"/>
      <c r="B119" s="63"/>
      <c r="C119" s="67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52"/>
      <c r="AK119" s="53"/>
      <c r="AL119" s="35"/>
      <c r="AM119" s="53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</row>
    <row r="120" spans="1:56" ht="15.75" customHeight="1" x14ac:dyDescent="0.3">
      <c r="A120" s="63"/>
      <c r="B120" s="63"/>
      <c r="C120" s="67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52"/>
      <c r="AK120" s="53"/>
      <c r="AL120" s="35"/>
      <c r="AM120" s="53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</row>
    <row r="121" spans="1:56" ht="15.75" customHeight="1" x14ac:dyDescent="0.3">
      <c r="A121" s="63"/>
      <c r="B121" s="63"/>
      <c r="C121" s="67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52"/>
      <c r="AK121" s="53"/>
      <c r="AL121" s="35"/>
      <c r="AM121" s="53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</row>
    <row r="122" spans="1:56" ht="15.75" customHeight="1" x14ac:dyDescent="0.3">
      <c r="A122" s="63"/>
      <c r="B122" s="63"/>
      <c r="C122" s="67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52"/>
      <c r="AK122" s="53"/>
      <c r="AL122" s="35"/>
      <c r="AM122" s="53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</row>
    <row r="123" spans="1:56" ht="15.75" customHeight="1" x14ac:dyDescent="0.3">
      <c r="A123" s="63"/>
      <c r="B123" s="63"/>
      <c r="C123" s="67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52"/>
      <c r="AK123" s="53"/>
      <c r="AL123" s="35"/>
      <c r="AM123" s="53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</row>
    <row r="124" spans="1:56" ht="15.75" customHeight="1" x14ac:dyDescent="0.3">
      <c r="A124" s="63"/>
      <c r="B124" s="63"/>
      <c r="C124" s="67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52"/>
      <c r="AK124" s="53"/>
      <c r="AL124" s="35"/>
      <c r="AM124" s="53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</row>
    <row r="125" spans="1:56" ht="15.75" customHeight="1" x14ac:dyDescent="0.3">
      <c r="A125" s="63"/>
      <c r="B125" s="63"/>
      <c r="C125" s="67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52"/>
      <c r="AK125" s="53"/>
      <c r="AL125" s="35"/>
      <c r="AM125" s="53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</row>
    <row r="126" spans="1:56" ht="15.75" customHeight="1" x14ac:dyDescent="0.3">
      <c r="A126" s="63"/>
      <c r="B126" s="63"/>
      <c r="C126" s="67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52"/>
      <c r="AK126" s="53"/>
      <c r="AL126" s="35"/>
      <c r="AM126" s="53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</row>
    <row r="127" spans="1:56" ht="15.75" customHeight="1" x14ac:dyDescent="0.3">
      <c r="A127" s="63"/>
      <c r="B127" s="63"/>
      <c r="C127" s="67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52"/>
      <c r="AK127" s="53"/>
      <c r="AL127" s="35"/>
      <c r="AM127" s="53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</row>
    <row r="128" spans="1:56" ht="15.75" customHeight="1" x14ac:dyDescent="0.3">
      <c r="A128" s="63"/>
      <c r="B128" s="63"/>
      <c r="C128" s="67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52"/>
      <c r="AK128" s="53"/>
      <c r="AL128" s="35"/>
      <c r="AM128" s="53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</row>
    <row r="129" spans="1:56" ht="15.75" customHeight="1" x14ac:dyDescent="0.3">
      <c r="A129" s="63"/>
      <c r="B129" s="63"/>
      <c r="C129" s="67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52"/>
      <c r="AK129" s="53"/>
      <c r="AL129" s="35"/>
      <c r="AM129" s="53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</row>
    <row r="130" spans="1:56" ht="15.75" customHeight="1" x14ac:dyDescent="0.3">
      <c r="A130" s="63"/>
      <c r="B130" s="63"/>
      <c r="C130" s="67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52"/>
      <c r="AK130" s="53"/>
      <c r="AL130" s="35"/>
      <c r="AM130" s="53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</row>
    <row r="131" spans="1:56" ht="15.75" customHeight="1" x14ac:dyDescent="0.3">
      <c r="A131" s="63"/>
      <c r="B131" s="63"/>
      <c r="C131" s="67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52"/>
      <c r="AK131" s="53"/>
      <c r="AL131" s="35"/>
      <c r="AM131" s="53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</row>
    <row r="132" spans="1:56" ht="15.75" customHeight="1" x14ac:dyDescent="0.3">
      <c r="A132" s="63"/>
      <c r="B132" s="63"/>
      <c r="C132" s="67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52"/>
      <c r="AK132" s="53"/>
      <c r="AL132" s="35"/>
      <c r="AM132" s="53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</row>
    <row r="133" spans="1:56" ht="15.75" customHeight="1" x14ac:dyDescent="0.3">
      <c r="A133" s="63"/>
      <c r="B133" s="63"/>
      <c r="C133" s="67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52"/>
      <c r="AK133" s="53"/>
      <c r="AL133" s="35"/>
      <c r="AM133" s="53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</row>
    <row r="134" spans="1:56" ht="15.75" customHeight="1" x14ac:dyDescent="0.3">
      <c r="A134" s="63"/>
      <c r="B134" s="63"/>
      <c r="C134" s="67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52"/>
      <c r="AK134" s="53"/>
      <c r="AL134" s="35"/>
      <c r="AM134" s="53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</row>
    <row r="135" spans="1:56" ht="15.75" customHeight="1" x14ac:dyDescent="0.3">
      <c r="A135" s="63"/>
      <c r="B135" s="63"/>
      <c r="C135" s="67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52"/>
      <c r="AK135" s="53"/>
      <c r="AL135" s="35"/>
      <c r="AM135" s="53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</row>
    <row r="136" spans="1:56" ht="15.75" customHeight="1" x14ac:dyDescent="0.3">
      <c r="A136" s="63"/>
      <c r="B136" s="63"/>
      <c r="C136" s="67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52"/>
      <c r="AK136" s="53"/>
      <c r="AL136" s="35"/>
      <c r="AM136" s="53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</row>
    <row r="137" spans="1:56" ht="15.75" customHeight="1" x14ac:dyDescent="0.3">
      <c r="A137" s="63"/>
      <c r="B137" s="63"/>
      <c r="C137" s="67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52"/>
      <c r="AK137" s="53"/>
      <c r="AL137" s="35"/>
      <c r="AM137" s="53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</row>
    <row r="138" spans="1:56" ht="15.75" customHeight="1" x14ac:dyDescent="0.3">
      <c r="A138" s="63"/>
      <c r="B138" s="63"/>
      <c r="C138" s="67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52"/>
      <c r="AK138" s="53"/>
      <c r="AL138" s="35"/>
      <c r="AM138" s="53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</row>
    <row r="139" spans="1:56" ht="15.75" customHeight="1" x14ac:dyDescent="0.3">
      <c r="A139" s="63"/>
      <c r="B139" s="63"/>
      <c r="C139" s="67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52"/>
      <c r="AK139" s="53"/>
      <c r="AL139" s="35"/>
      <c r="AM139" s="53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</row>
    <row r="140" spans="1:56" ht="15.75" customHeight="1" x14ac:dyDescent="0.3">
      <c r="A140" s="63"/>
      <c r="B140" s="63"/>
      <c r="C140" s="67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52"/>
      <c r="AK140" s="53"/>
      <c r="AL140" s="35"/>
      <c r="AM140" s="53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</row>
    <row r="141" spans="1:56" ht="15.75" customHeight="1" x14ac:dyDescent="0.3">
      <c r="A141" s="63"/>
      <c r="B141" s="63"/>
      <c r="C141" s="67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52"/>
      <c r="AK141" s="53"/>
      <c r="AL141" s="35"/>
      <c r="AM141" s="53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</row>
    <row r="142" spans="1:56" ht="15.75" customHeight="1" x14ac:dyDescent="0.3">
      <c r="A142" s="63"/>
      <c r="B142" s="63"/>
      <c r="C142" s="67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52"/>
      <c r="AK142" s="53"/>
      <c r="AL142" s="35"/>
      <c r="AM142" s="53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</row>
    <row r="143" spans="1:56" ht="15.75" customHeight="1" x14ac:dyDescent="0.3">
      <c r="A143" s="63"/>
      <c r="B143" s="63"/>
      <c r="C143" s="67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52"/>
      <c r="AK143" s="53"/>
      <c r="AL143" s="35"/>
      <c r="AM143" s="53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</row>
    <row r="144" spans="1:56" ht="15.75" customHeight="1" x14ac:dyDescent="0.3">
      <c r="A144" s="63"/>
      <c r="B144" s="63"/>
      <c r="C144" s="64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52"/>
      <c r="AK144" s="53"/>
      <c r="AL144" s="35"/>
      <c r="AM144" s="53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</row>
    <row r="145" spans="1:56" ht="15.75" customHeight="1" x14ac:dyDescent="0.3">
      <c r="A145" s="63"/>
      <c r="B145" s="63"/>
      <c r="C145" s="64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52"/>
      <c r="AK145" s="53"/>
      <c r="AL145" s="35"/>
      <c r="AM145" s="53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</row>
    <row r="146" spans="1:56" ht="15.75" customHeight="1" x14ac:dyDescent="0.3">
      <c r="A146" s="63"/>
      <c r="B146" s="63"/>
      <c r="C146" s="64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52"/>
      <c r="AK146" s="53"/>
      <c r="AL146" s="35"/>
      <c r="AM146" s="53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</row>
    <row r="147" spans="1:56" ht="15.75" customHeight="1" x14ac:dyDescent="0.3">
      <c r="A147" s="63"/>
      <c r="B147" s="63"/>
      <c r="C147" s="64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52"/>
      <c r="AK147" s="53"/>
      <c r="AL147" s="35"/>
      <c r="AM147" s="53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</row>
    <row r="148" spans="1:56" ht="15.75" customHeight="1" x14ac:dyDescent="0.3">
      <c r="A148" s="63"/>
      <c r="B148" s="63"/>
      <c r="C148" s="64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52"/>
      <c r="AK148" s="53"/>
      <c r="AL148" s="35"/>
      <c r="AM148" s="53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</row>
    <row r="149" spans="1:56" ht="15.75" customHeight="1" x14ac:dyDescent="0.3">
      <c r="A149" s="63"/>
      <c r="B149" s="63"/>
      <c r="C149" s="64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52"/>
      <c r="AK149" s="53"/>
      <c r="AL149" s="35"/>
      <c r="AM149" s="53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</row>
    <row r="150" spans="1:56" ht="15.75" customHeight="1" x14ac:dyDescent="0.3">
      <c r="A150" s="63"/>
      <c r="B150" s="63"/>
      <c r="C150" s="64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52"/>
      <c r="AK150" s="53"/>
      <c r="AL150" s="35"/>
      <c r="AM150" s="53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</row>
    <row r="151" spans="1:56" ht="15.75" customHeight="1" x14ac:dyDescent="0.3">
      <c r="A151" s="63"/>
      <c r="B151" s="63"/>
      <c r="C151" s="64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52"/>
      <c r="AK151" s="53"/>
      <c r="AL151" s="35"/>
      <c r="AM151" s="53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</row>
    <row r="152" spans="1:56" ht="15.75" customHeight="1" x14ac:dyDescent="0.3">
      <c r="A152" s="63"/>
      <c r="B152" s="63"/>
      <c r="C152" s="64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52"/>
      <c r="AK152" s="53"/>
      <c r="AL152" s="35"/>
      <c r="AM152" s="53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</row>
    <row r="153" spans="1:56" ht="15.75" customHeight="1" x14ac:dyDescent="0.3">
      <c r="A153" s="63"/>
      <c r="B153" s="63"/>
      <c r="C153" s="64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52"/>
      <c r="AK153" s="53"/>
      <c r="AL153" s="35"/>
      <c r="AM153" s="53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</row>
    <row r="154" spans="1:56" ht="15.75" customHeight="1" x14ac:dyDescent="0.3">
      <c r="A154" s="63"/>
      <c r="B154" s="63"/>
      <c r="C154" s="64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52"/>
      <c r="AK154" s="53"/>
      <c r="AL154" s="35"/>
      <c r="AM154" s="53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</row>
    <row r="155" spans="1:56" ht="15.75" customHeight="1" x14ac:dyDescent="0.3">
      <c r="A155" s="63"/>
      <c r="B155" s="63"/>
      <c r="C155" s="64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52"/>
      <c r="AK155" s="53"/>
      <c r="AL155" s="35"/>
      <c r="AM155" s="53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</row>
    <row r="156" spans="1:56" ht="15.75" customHeight="1" x14ac:dyDescent="0.3">
      <c r="A156" s="63"/>
      <c r="B156" s="63"/>
      <c r="C156" s="64"/>
      <c r="D156" s="63"/>
      <c r="E156" s="66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52"/>
      <c r="AK156" s="53"/>
      <c r="AL156" s="35"/>
      <c r="AM156" s="53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</row>
    <row r="157" spans="1:56" ht="15.75" customHeight="1" x14ac:dyDescent="0.3">
      <c r="A157" s="63"/>
      <c r="B157" s="63"/>
      <c r="C157" s="64"/>
      <c r="D157" s="63"/>
      <c r="E157" s="66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52"/>
      <c r="AK157" s="53"/>
      <c r="AL157" s="35"/>
      <c r="AM157" s="53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</row>
    <row r="158" spans="1:56" ht="15.75" customHeight="1" x14ac:dyDescent="0.3">
      <c r="A158" s="63"/>
      <c r="B158" s="63"/>
      <c r="C158" s="64"/>
      <c r="D158" s="63"/>
      <c r="E158" s="66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52"/>
      <c r="AK158" s="53"/>
      <c r="AL158" s="35"/>
      <c r="AM158" s="53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</row>
    <row r="159" spans="1:56" ht="15.75" customHeight="1" x14ac:dyDescent="0.3">
      <c r="A159" s="63"/>
      <c r="B159" s="63"/>
      <c r="C159" s="64"/>
      <c r="D159" s="63"/>
      <c r="E159" s="66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52"/>
      <c r="AK159" s="53"/>
      <c r="AL159" s="35"/>
      <c r="AM159" s="53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</row>
    <row r="160" spans="1:56" ht="15.75" customHeight="1" x14ac:dyDescent="0.3">
      <c r="A160" s="63"/>
      <c r="B160" s="63"/>
      <c r="C160" s="64"/>
      <c r="D160" s="63"/>
      <c r="E160" s="66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52"/>
      <c r="AK160" s="53"/>
      <c r="AL160" s="35"/>
      <c r="AM160" s="53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</row>
    <row r="161" spans="1:56" ht="15.75" customHeight="1" x14ac:dyDescent="0.3">
      <c r="A161" s="63"/>
      <c r="B161" s="63"/>
      <c r="C161" s="64"/>
      <c r="D161" s="63"/>
      <c r="E161" s="66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52"/>
      <c r="AK161" s="53"/>
      <c r="AL161" s="35"/>
      <c r="AM161" s="53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</row>
    <row r="162" spans="1:56" ht="15.75" customHeight="1" x14ac:dyDescent="0.3">
      <c r="A162" s="63"/>
      <c r="B162" s="63"/>
      <c r="C162" s="64"/>
      <c r="D162" s="63"/>
      <c r="E162" s="66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52"/>
      <c r="AK162" s="53"/>
      <c r="AL162" s="35"/>
      <c r="AM162" s="53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</row>
    <row r="163" spans="1:56" ht="15.75" customHeight="1" x14ac:dyDescent="0.3">
      <c r="A163" s="63"/>
      <c r="B163" s="63"/>
      <c r="C163" s="64"/>
      <c r="D163" s="63"/>
      <c r="E163" s="66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52"/>
      <c r="AK163" s="53"/>
      <c r="AL163" s="35"/>
      <c r="AM163" s="53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</row>
    <row r="164" spans="1:56" ht="15.75" customHeight="1" x14ac:dyDescent="0.3">
      <c r="A164" s="63"/>
      <c r="B164" s="63"/>
      <c r="C164" s="64"/>
      <c r="D164" s="63"/>
      <c r="E164" s="66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52"/>
      <c r="AK164" s="53"/>
      <c r="AL164" s="35"/>
      <c r="AM164" s="53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</row>
    <row r="165" spans="1:56" ht="15.75" customHeight="1" x14ac:dyDescent="0.3">
      <c r="A165" s="63"/>
      <c r="B165" s="63"/>
      <c r="C165" s="64"/>
      <c r="D165" s="63"/>
      <c r="E165" s="66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52"/>
      <c r="AK165" s="53"/>
      <c r="AL165" s="35"/>
      <c r="AM165" s="53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</row>
    <row r="166" spans="1:56" ht="15.75" customHeight="1" x14ac:dyDescent="0.3">
      <c r="A166" s="63"/>
      <c r="B166" s="63"/>
      <c r="C166" s="64"/>
      <c r="D166" s="63"/>
      <c r="E166" s="66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52"/>
      <c r="AK166" s="53"/>
      <c r="AL166" s="35"/>
      <c r="AM166" s="53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</row>
    <row r="167" spans="1:56" ht="15.75" customHeight="1" x14ac:dyDescent="0.3">
      <c r="A167" s="63"/>
      <c r="B167" s="63"/>
      <c r="C167" s="64"/>
      <c r="D167" s="63"/>
      <c r="E167" s="66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52"/>
      <c r="AK167" s="53"/>
      <c r="AL167" s="35"/>
      <c r="AM167" s="53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</row>
    <row r="168" spans="1:56" ht="15.75" customHeight="1" x14ac:dyDescent="0.3">
      <c r="A168" s="63"/>
      <c r="B168" s="63"/>
      <c r="C168" s="64"/>
      <c r="D168" s="63"/>
      <c r="E168" s="66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52"/>
      <c r="AK168" s="53"/>
      <c r="AL168" s="35"/>
      <c r="AM168" s="53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</row>
    <row r="169" spans="1:56" ht="15.75" customHeight="1" x14ac:dyDescent="0.3">
      <c r="A169" s="63"/>
      <c r="B169" s="63"/>
      <c r="C169" s="64"/>
      <c r="D169" s="63"/>
      <c r="E169" s="66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52"/>
      <c r="AK169" s="53"/>
      <c r="AL169" s="35"/>
      <c r="AM169" s="53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</row>
    <row r="170" spans="1:56" ht="15.75" customHeight="1" x14ac:dyDescent="0.3">
      <c r="A170" s="63"/>
      <c r="B170" s="63"/>
      <c r="C170" s="64"/>
      <c r="D170" s="63"/>
      <c r="E170" s="66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52"/>
      <c r="AK170" s="53"/>
      <c r="AL170" s="35"/>
      <c r="AM170" s="53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</row>
    <row r="171" spans="1:56" ht="15.75" customHeight="1" x14ac:dyDescent="0.3">
      <c r="A171" s="63"/>
      <c r="B171" s="63"/>
      <c r="C171" s="64"/>
      <c r="D171" s="63"/>
      <c r="E171" s="66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52"/>
      <c r="AK171" s="53"/>
      <c r="AL171" s="35"/>
      <c r="AM171" s="53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</row>
    <row r="172" spans="1:56" ht="15.75" customHeight="1" x14ac:dyDescent="0.3">
      <c r="A172" s="63"/>
      <c r="B172" s="63"/>
      <c r="C172" s="64"/>
      <c r="D172" s="63"/>
      <c r="E172" s="66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52"/>
      <c r="AK172" s="53"/>
      <c r="AL172" s="35"/>
      <c r="AM172" s="53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</row>
    <row r="173" spans="1:56" ht="15.75" customHeight="1" x14ac:dyDescent="0.3">
      <c r="A173" s="63"/>
      <c r="B173" s="63"/>
      <c r="C173" s="64"/>
      <c r="D173" s="63"/>
      <c r="E173" s="66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52"/>
      <c r="AK173" s="53"/>
      <c r="AL173" s="35"/>
      <c r="AM173" s="53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</row>
    <row r="174" spans="1:56" ht="15.75" customHeight="1" x14ac:dyDescent="0.3">
      <c r="A174" s="63"/>
      <c r="B174" s="63"/>
      <c r="C174" s="64"/>
      <c r="D174" s="63"/>
      <c r="E174" s="66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52"/>
      <c r="AK174" s="53"/>
      <c r="AL174" s="35"/>
      <c r="AM174" s="53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</row>
    <row r="175" spans="1:56" ht="15.75" customHeight="1" x14ac:dyDescent="0.3">
      <c r="A175" s="63"/>
      <c r="B175" s="63"/>
      <c r="C175" s="64"/>
      <c r="D175" s="63"/>
      <c r="E175" s="66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52"/>
      <c r="AK175" s="53"/>
      <c r="AL175" s="35"/>
      <c r="AM175" s="53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</row>
    <row r="176" spans="1:56" ht="15.75" customHeight="1" x14ac:dyDescent="0.3">
      <c r="A176" s="63"/>
      <c r="B176" s="63"/>
      <c r="C176" s="64"/>
      <c r="D176" s="63"/>
      <c r="E176" s="66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52"/>
      <c r="AK176" s="53"/>
      <c r="AL176" s="35"/>
      <c r="AM176" s="53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</row>
    <row r="177" spans="1:56" ht="15.75" customHeight="1" x14ac:dyDescent="0.3">
      <c r="A177" s="63"/>
      <c r="B177" s="63"/>
      <c r="C177" s="64"/>
      <c r="D177" s="63"/>
      <c r="E177" s="66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52"/>
      <c r="AK177" s="53"/>
      <c r="AL177" s="35"/>
      <c r="AM177" s="53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</row>
    <row r="178" spans="1:56" ht="15.75" customHeight="1" x14ac:dyDescent="0.3">
      <c r="A178" s="63"/>
      <c r="B178" s="63"/>
      <c r="C178" s="64"/>
      <c r="D178" s="63"/>
      <c r="E178" s="66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52"/>
      <c r="AK178" s="53"/>
      <c r="AL178" s="35"/>
      <c r="AM178" s="53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</row>
    <row r="179" spans="1:56" ht="15.75" customHeight="1" x14ac:dyDescent="0.3">
      <c r="A179" s="63"/>
      <c r="B179" s="63"/>
      <c r="C179" s="64"/>
      <c r="D179" s="63"/>
      <c r="E179" s="66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52"/>
      <c r="AK179" s="53"/>
      <c r="AL179" s="35"/>
      <c r="AM179" s="53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</row>
    <row r="180" spans="1:56" ht="15.75" customHeight="1" x14ac:dyDescent="0.3">
      <c r="A180" s="63"/>
      <c r="B180" s="63"/>
      <c r="C180" s="64"/>
      <c r="D180" s="63"/>
      <c r="E180" s="66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52"/>
      <c r="AK180" s="53"/>
      <c r="AL180" s="35"/>
      <c r="AM180" s="53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</row>
    <row r="181" spans="1:56" ht="15.75" customHeight="1" x14ac:dyDescent="0.3">
      <c r="A181" s="63"/>
      <c r="B181" s="63"/>
      <c r="C181" s="64"/>
      <c r="D181" s="63"/>
      <c r="E181" s="66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52"/>
      <c r="AK181" s="53"/>
      <c r="AL181" s="35"/>
      <c r="AM181" s="53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</row>
    <row r="182" spans="1:56" ht="15.75" customHeight="1" x14ac:dyDescent="0.3">
      <c r="A182" s="63"/>
      <c r="B182" s="63"/>
      <c r="C182" s="64"/>
      <c r="D182" s="63"/>
      <c r="E182" s="66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52"/>
      <c r="AK182" s="53"/>
      <c r="AL182" s="35"/>
      <c r="AM182" s="53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</row>
    <row r="183" spans="1:56" ht="15.75" customHeight="1" x14ac:dyDescent="0.3">
      <c r="A183" s="63"/>
      <c r="B183" s="63"/>
      <c r="C183" s="64"/>
      <c r="D183" s="63"/>
      <c r="E183" s="66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52"/>
      <c r="AK183" s="53"/>
      <c r="AL183" s="35"/>
      <c r="AM183" s="53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</row>
    <row r="184" spans="1:56" ht="15.75" customHeight="1" x14ac:dyDescent="0.3">
      <c r="A184" s="63"/>
      <c r="B184" s="63"/>
      <c r="C184" s="64"/>
      <c r="D184" s="63"/>
      <c r="E184" s="66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52"/>
      <c r="AK184" s="53"/>
      <c r="AL184" s="35"/>
      <c r="AM184" s="53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</row>
    <row r="185" spans="1:56" ht="15.75" customHeight="1" x14ac:dyDescent="0.3">
      <c r="A185" s="63"/>
      <c r="B185" s="63"/>
      <c r="C185" s="64"/>
      <c r="D185" s="63"/>
      <c r="E185" s="66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52"/>
      <c r="AK185" s="53"/>
      <c r="AL185" s="35"/>
      <c r="AM185" s="53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</row>
    <row r="186" spans="1:56" ht="15.75" customHeight="1" x14ac:dyDescent="0.3">
      <c r="A186" s="63"/>
      <c r="B186" s="63"/>
      <c r="C186" s="64"/>
      <c r="D186" s="63"/>
      <c r="E186" s="66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52"/>
      <c r="AK186" s="53"/>
      <c r="AL186" s="35"/>
      <c r="AM186" s="53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</row>
    <row r="187" spans="1:56" ht="15.75" customHeight="1" x14ac:dyDescent="0.3">
      <c r="A187" s="63"/>
      <c r="B187" s="63"/>
      <c r="C187" s="64"/>
      <c r="D187" s="63"/>
      <c r="E187" s="66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52"/>
      <c r="AK187" s="53"/>
      <c r="AL187" s="35"/>
      <c r="AM187" s="53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</row>
    <row r="188" spans="1:56" ht="15.75" customHeight="1" x14ac:dyDescent="0.3">
      <c r="A188" s="63"/>
      <c r="B188" s="63"/>
      <c r="C188" s="64"/>
      <c r="D188" s="63"/>
      <c r="E188" s="66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52"/>
      <c r="AK188" s="53"/>
      <c r="AL188" s="35"/>
      <c r="AM188" s="53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</row>
    <row r="189" spans="1:56" ht="15.75" customHeight="1" x14ac:dyDescent="0.3">
      <c r="A189" s="63"/>
      <c r="B189" s="63"/>
      <c r="C189" s="64"/>
      <c r="D189" s="63"/>
      <c r="E189" s="66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52"/>
      <c r="AK189" s="53"/>
      <c r="AL189" s="35"/>
      <c r="AM189" s="53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</row>
    <row r="190" spans="1:56" ht="15.75" customHeight="1" x14ac:dyDescent="0.3">
      <c r="A190" s="63"/>
      <c r="B190" s="63"/>
      <c r="C190" s="64"/>
      <c r="D190" s="63"/>
      <c r="E190" s="66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52"/>
      <c r="AK190" s="53"/>
      <c r="AL190" s="35"/>
      <c r="AM190" s="53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</row>
    <row r="191" spans="1:56" ht="15.75" customHeight="1" x14ac:dyDescent="0.3">
      <c r="A191" s="63"/>
      <c r="B191" s="63"/>
      <c r="C191" s="67"/>
      <c r="D191" s="63"/>
      <c r="E191" s="66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52"/>
      <c r="AK191" s="53"/>
      <c r="AL191" s="35"/>
      <c r="AM191" s="53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</row>
    <row r="192" spans="1:56" ht="15.75" customHeight="1" x14ac:dyDescent="0.3">
      <c r="A192" s="63"/>
      <c r="B192" s="63"/>
      <c r="C192" s="67"/>
      <c r="D192" s="63"/>
      <c r="E192" s="66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52"/>
      <c r="AK192" s="53"/>
      <c r="AL192" s="35"/>
      <c r="AM192" s="53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</row>
    <row r="193" spans="1:56" ht="15.75" customHeight="1" x14ac:dyDescent="0.3">
      <c r="A193" s="68"/>
      <c r="B193" s="68"/>
      <c r="C193" s="69"/>
      <c r="D193" s="68"/>
      <c r="E193" s="70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52"/>
      <c r="AK193" s="53"/>
      <c r="AL193" s="35"/>
      <c r="AM193" s="53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</row>
    <row r="194" spans="1:56" ht="15.75" customHeight="1" x14ac:dyDescent="0.3">
      <c r="A194" s="68"/>
      <c r="B194" s="68"/>
      <c r="C194" s="69"/>
      <c r="D194" s="68"/>
      <c r="E194" s="70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52"/>
      <c r="AK194" s="53"/>
      <c r="AL194" s="35"/>
      <c r="AM194" s="53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</row>
    <row r="195" spans="1:56" ht="15.75" customHeight="1" x14ac:dyDescent="0.3">
      <c r="A195" s="68"/>
      <c r="B195" s="68"/>
      <c r="C195" s="69"/>
      <c r="D195" s="68"/>
      <c r="E195" s="70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52"/>
      <c r="AK195" s="53"/>
      <c r="AL195" s="35"/>
      <c r="AM195" s="53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</row>
    <row r="196" spans="1:56" ht="15.75" customHeight="1" x14ac:dyDescent="0.3">
      <c r="A196" s="68"/>
      <c r="B196" s="68"/>
      <c r="C196" s="69"/>
      <c r="D196" s="68"/>
      <c r="E196" s="70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52"/>
      <c r="AK196" s="53"/>
      <c r="AL196" s="35"/>
      <c r="AM196" s="53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</row>
    <row r="197" spans="1:56" ht="15.75" customHeight="1" x14ac:dyDescent="0.3">
      <c r="A197" s="68"/>
      <c r="B197" s="68"/>
      <c r="C197" s="69"/>
      <c r="D197" s="68"/>
      <c r="E197" s="70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52"/>
      <c r="AK197" s="53"/>
      <c r="AL197" s="35"/>
      <c r="AM197" s="53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</row>
    <row r="198" spans="1:56" ht="15.75" customHeight="1" x14ac:dyDescent="0.3">
      <c r="A198" s="68"/>
      <c r="B198" s="68"/>
      <c r="C198" s="69"/>
      <c r="D198" s="68"/>
      <c r="E198" s="70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52"/>
      <c r="AK198" s="53"/>
      <c r="AL198" s="35"/>
      <c r="AM198" s="53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</row>
    <row r="199" spans="1:56" ht="15.75" customHeight="1" x14ac:dyDescent="0.3">
      <c r="A199" s="68"/>
      <c r="B199" s="68"/>
      <c r="C199" s="69"/>
      <c r="D199" s="68"/>
      <c r="E199" s="70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52"/>
      <c r="AK199" s="53"/>
      <c r="AL199" s="35"/>
      <c r="AM199" s="53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</row>
    <row r="200" spans="1:56" ht="15.75" customHeight="1" x14ac:dyDescent="0.3">
      <c r="A200" s="68"/>
      <c r="B200" s="68"/>
      <c r="C200" s="69"/>
      <c r="D200" s="68"/>
      <c r="E200" s="70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52"/>
      <c r="AK200" s="53"/>
      <c r="AL200" s="35"/>
      <c r="AM200" s="53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</row>
    <row r="201" spans="1:56" ht="15.75" customHeight="1" x14ac:dyDescent="0.3">
      <c r="A201" s="68"/>
      <c r="B201" s="68"/>
      <c r="C201" s="69"/>
      <c r="D201" s="68"/>
      <c r="E201" s="70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52"/>
      <c r="AK201" s="53"/>
      <c r="AL201" s="35"/>
      <c r="AM201" s="53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</row>
    <row r="202" spans="1:56" ht="15.75" customHeight="1" x14ac:dyDescent="0.3">
      <c r="A202" s="68"/>
      <c r="B202" s="68"/>
      <c r="C202" s="69"/>
      <c r="D202" s="68"/>
      <c r="E202" s="70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52"/>
      <c r="AK202" s="53"/>
      <c r="AL202" s="35"/>
      <c r="AM202" s="53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</row>
    <row r="203" spans="1:56" ht="15.75" customHeight="1" x14ac:dyDescent="0.3">
      <c r="A203" s="68"/>
      <c r="B203" s="68"/>
      <c r="C203" s="69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52"/>
      <c r="AK203" s="53"/>
      <c r="AL203" s="35"/>
      <c r="AM203" s="53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</row>
    <row r="204" spans="1:56" ht="15.75" customHeight="1" x14ac:dyDescent="0.3">
      <c r="A204" s="68"/>
      <c r="B204" s="68"/>
      <c r="C204" s="69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52"/>
      <c r="AK204" s="53"/>
      <c r="AL204" s="35"/>
      <c r="AM204" s="53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</row>
    <row r="205" spans="1:56" ht="15.75" customHeight="1" x14ac:dyDescent="0.3">
      <c r="A205" s="68"/>
      <c r="B205" s="68"/>
      <c r="C205" s="69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52"/>
      <c r="AK205" s="53"/>
      <c r="AL205" s="35"/>
      <c r="AM205" s="53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</row>
    <row r="206" spans="1:56" ht="15.75" customHeight="1" x14ac:dyDescent="0.3">
      <c r="A206" s="68"/>
      <c r="B206" s="68"/>
      <c r="C206" s="69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52"/>
      <c r="AK206" s="53"/>
      <c r="AL206" s="35"/>
      <c r="AM206" s="53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</row>
    <row r="207" spans="1:56" ht="15.75" customHeight="1" x14ac:dyDescent="0.3">
      <c r="A207" s="68"/>
      <c r="B207" s="68"/>
      <c r="C207" s="69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52"/>
      <c r="AK207" s="53"/>
      <c r="AL207" s="35"/>
      <c r="AM207" s="53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</row>
    <row r="208" spans="1:56" ht="15.75" customHeight="1" x14ac:dyDescent="0.3">
      <c r="A208" s="68"/>
      <c r="B208" s="68"/>
      <c r="C208" s="69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52"/>
      <c r="AK208" s="53"/>
      <c r="AL208" s="35"/>
      <c r="AM208" s="53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</row>
    <row r="209" spans="1:56" ht="15.75" customHeight="1" x14ac:dyDescent="0.3">
      <c r="A209" s="68"/>
      <c r="B209" s="68"/>
      <c r="C209" s="69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52"/>
      <c r="AK209" s="53"/>
      <c r="AL209" s="35"/>
      <c r="AM209" s="53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</row>
    <row r="210" spans="1:56" ht="15.75" customHeight="1" x14ac:dyDescent="0.3">
      <c r="A210" s="68"/>
      <c r="B210" s="68"/>
      <c r="C210" s="69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52"/>
      <c r="AK210" s="53"/>
      <c r="AL210" s="35"/>
      <c r="AM210" s="53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</row>
    <row r="211" spans="1:56" ht="15.75" customHeight="1" x14ac:dyDescent="0.3">
      <c r="A211" s="68"/>
      <c r="B211" s="68"/>
      <c r="C211" s="69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52"/>
      <c r="AK211" s="53"/>
      <c r="AL211" s="35"/>
      <c r="AM211" s="53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</row>
    <row r="212" spans="1:56" ht="15.75" customHeight="1" x14ac:dyDescent="0.3">
      <c r="A212" s="68"/>
      <c r="B212" s="68"/>
      <c r="C212" s="69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52"/>
      <c r="AK212" s="53"/>
      <c r="AL212" s="35"/>
      <c r="AM212" s="53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</row>
    <row r="213" spans="1:56" ht="15.75" customHeight="1" x14ac:dyDescent="0.3">
      <c r="A213" s="68"/>
      <c r="B213" s="68"/>
      <c r="C213" s="69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52"/>
      <c r="AK213" s="53"/>
      <c r="AL213" s="35"/>
      <c r="AM213" s="53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</row>
    <row r="214" spans="1:56" ht="15.75" customHeight="1" x14ac:dyDescent="0.3">
      <c r="A214" s="68"/>
      <c r="B214" s="68"/>
      <c r="C214" s="69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52"/>
      <c r="AK214" s="53"/>
      <c r="AL214" s="35"/>
      <c r="AM214" s="53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</row>
    <row r="215" spans="1:56" ht="15.75" customHeight="1" x14ac:dyDescent="0.3">
      <c r="A215" s="68"/>
      <c r="B215" s="68"/>
      <c r="C215" s="69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52"/>
      <c r="AK215" s="53"/>
      <c r="AL215" s="35"/>
      <c r="AM215" s="53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</row>
    <row r="216" spans="1:56" ht="15.75" customHeight="1" x14ac:dyDescent="0.3">
      <c r="A216" s="68"/>
      <c r="B216" s="68"/>
      <c r="C216" s="69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52"/>
      <c r="AK216" s="53"/>
      <c r="AL216" s="35"/>
      <c r="AM216" s="53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</row>
    <row r="217" spans="1:56" ht="15.75" customHeight="1" x14ac:dyDescent="0.3">
      <c r="A217" s="68"/>
      <c r="B217" s="68"/>
      <c r="C217" s="69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52"/>
      <c r="AK217" s="53"/>
      <c r="AL217" s="35"/>
      <c r="AM217" s="53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</row>
    <row r="218" spans="1:56" ht="15.75" customHeight="1" x14ac:dyDescent="0.3">
      <c r="A218" s="68"/>
      <c r="B218" s="68"/>
      <c r="C218" s="69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52"/>
      <c r="AK218" s="53"/>
      <c r="AL218" s="35"/>
      <c r="AM218" s="53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</row>
    <row r="219" spans="1:56" ht="15.75" customHeight="1" x14ac:dyDescent="0.3">
      <c r="A219" s="68"/>
      <c r="B219" s="68"/>
      <c r="C219" s="69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52"/>
      <c r="AK219" s="53"/>
      <c r="AL219" s="35"/>
      <c r="AM219" s="53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</row>
    <row r="220" spans="1:56" ht="15.75" customHeight="1" x14ac:dyDescent="0.3">
      <c r="A220" s="68"/>
      <c r="B220" s="68"/>
      <c r="C220" s="69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52"/>
      <c r="AK220" s="53"/>
      <c r="AL220" s="35"/>
      <c r="AM220" s="53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</row>
    <row r="221" spans="1:56" ht="15.75" customHeight="1" x14ac:dyDescent="0.3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K221" s="54"/>
      <c r="AL221" s="54"/>
      <c r="AM221" s="54"/>
    </row>
    <row r="222" spans="1:56" ht="15.75" customHeight="1" x14ac:dyDescent="0.3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K222" s="54"/>
      <c r="AL222" s="54"/>
      <c r="AM222" s="54"/>
    </row>
    <row r="223" spans="1:56" ht="15.75" customHeight="1" x14ac:dyDescent="0.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K223" s="54"/>
      <c r="AL223" s="54"/>
      <c r="AM223" s="54"/>
    </row>
    <row r="224" spans="1:56" ht="15.75" customHeight="1" x14ac:dyDescent="0.3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K224" s="54"/>
      <c r="AL224" s="54"/>
      <c r="AM224" s="54"/>
    </row>
    <row r="225" spans="1:39" ht="15.75" customHeight="1" x14ac:dyDescent="0.3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K225" s="54"/>
      <c r="AL225" s="54"/>
      <c r="AM225" s="54"/>
    </row>
    <row r="226" spans="1:39" ht="15.75" customHeight="1" x14ac:dyDescent="0.3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K226" s="54"/>
      <c r="AL226" s="54"/>
      <c r="AM226" s="54"/>
    </row>
    <row r="227" spans="1:39" ht="15.75" customHeight="1" x14ac:dyDescent="0.3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K227" s="54"/>
      <c r="AL227" s="54"/>
      <c r="AM227" s="54"/>
    </row>
    <row r="228" spans="1:39" ht="15.75" customHeight="1" x14ac:dyDescent="0.3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K228" s="54"/>
      <c r="AL228" s="54"/>
      <c r="AM228" s="54"/>
    </row>
    <row r="229" spans="1:39" ht="15.75" customHeight="1" x14ac:dyDescent="0.3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K229" s="54"/>
      <c r="AL229" s="54"/>
      <c r="AM229" s="54"/>
    </row>
    <row r="230" spans="1:39" ht="15.75" customHeight="1" x14ac:dyDescent="0.3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K230" s="54"/>
      <c r="AL230" s="54"/>
      <c r="AM230" s="54"/>
    </row>
    <row r="231" spans="1:39" ht="15.75" customHeight="1" x14ac:dyDescent="0.3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K231" s="54"/>
      <c r="AL231" s="54"/>
      <c r="AM231" s="54"/>
    </row>
    <row r="232" spans="1:39" ht="15.75" customHeight="1" x14ac:dyDescent="0.3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K232" s="54"/>
      <c r="AL232" s="54"/>
      <c r="AM232" s="54"/>
    </row>
    <row r="233" spans="1:39" ht="15.75" customHeight="1" x14ac:dyDescent="0.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K233" s="54"/>
      <c r="AL233" s="54"/>
      <c r="AM233" s="54"/>
    </row>
    <row r="234" spans="1:39" ht="15.75" customHeight="1" x14ac:dyDescent="0.3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K234" s="54"/>
      <c r="AL234" s="54"/>
      <c r="AM234" s="54"/>
    </row>
    <row r="235" spans="1:39" ht="15.75" customHeight="1" x14ac:dyDescent="0.3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K235" s="54"/>
      <c r="AL235" s="54"/>
      <c r="AM235" s="54"/>
    </row>
    <row r="236" spans="1:39" ht="15.75" customHeight="1" x14ac:dyDescent="0.3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K236" s="54"/>
      <c r="AL236" s="54"/>
      <c r="AM236" s="54"/>
    </row>
    <row r="237" spans="1:39" ht="15.75" customHeight="1" x14ac:dyDescent="0.3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K237" s="54"/>
      <c r="AL237" s="54"/>
      <c r="AM237" s="54"/>
    </row>
    <row r="238" spans="1:39" ht="15.75" customHeight="1" x14ac:dyDescent="0.3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K238" s="54"/>
      <c r="AL238" s="54"/>
      <c r="AM238" s="54"/>
    </row>
    <row r="239" spans="1:39" ht="15.75" customHeight="1" x14ac:dyDescent="0.3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K239" s="54"/>
      <c r="AL239" s="54"/>
      <c r="AM239" s="54"/>
    </row>
    <row r="240" spans="1:39" ht="15.75" customHeight="1" x14ac:dyDescent="0.3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K240" s="54"/>
      <c r="AL240" s="54"/>
      <c r="AM240" s="54"/>
    </row>
    <row r="241" spans="1:39" ht="15.75" customHeight="1" x14ac:dyDescent="0.3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K241" s="54"/>
      <c r="AL241" s="54"/>
      <c r="AM241" s="54"/>
    </row>
    <row r="242" spans="1:39" ht="15.75" customHeight="1" x14ac:dyDescent="0.3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K242" s="54"/>
      <c r="AL242" s="54"/>
      <c r="AM242" s="54"/>
    </row>
    <row r="243" spans="1:39" ht="15.75" customHeight="1" x14ac:dyDescent="0.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K243" s="54"/>
      <c r="AL243" s="54"/>
      <c r="AM243" s="54"/>
    </row>
    <row r="244" spans="1:39" ht="15.75" customHeight="1" x14ac:dyDescent="0.3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K244" s="54"/>
      <c r="AL244" s="54"/>
      <c r="AM244" s="54"/>
    </row>
    <row r="245" spans="1:39" ht="15.75" customHeight="1" x14ac:dyDescent="0.3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K245" s="54"/>
      <c r="AL245" s="54"/>
      <c r="AM245" s="54"/>
    </row>
    <row r="246" spans="1:39" ht="15.75" customHeight="1" x14ac:dyDescent="0.3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K246" s="54"/>
      <c r="AL246" s="54"/>
      <c r="AM246" s="54"/>
    </row>
    <row r="247" spans="1:39" ht="15.75" customHeight="1" x14ac:dyDescent="0.3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K247" s="54"/>
      <c r="AL247" s="54"/>
      <c r="AM247" s="54"/>
    </row>
    <row r="248" spans="1:39" ht="15.75" customHeight="1" x14ac:dyDescent="0.3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K248" s="54"/>
      <c r="AL248" s="54"/>
      <c r="AM248" s="54"/>
    </row>
    <row r="249" spans="1:39" ht="15.75" customHeight="1" x14ac:dyDescent="0.3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K249" s="54"/>
      <c r="AL249" s="54"/>
      <c r="AM249" s="54"/>
    </row>
    <row r="250" spans="1:39" ht="15.75" customHeight="1" x14ac:dyDescent="0.3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K250" s="54"/>
      <c r="AL250" s="54"/>
      <c r="AM250" s="54"/>
    </row>
    <row r="251" spans="1:39" ht="15.75" customHeight="1" x14ac:dyDescent="0.3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K251" s="54"/>
      <c r="AL251" s="54"/>
      <c r="AM251" s="54"/>
    </row>
    <row r="252" spans="1:39" ht="15.75" customHeight="1" x14ac:dyDescent="0.3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K252" s="54"/>
      <c r="AL252" s="54"/>
      <c r="AM252" s="54"/>
    </row>
    <row r="253" spans="1:39" ht="15.75" customHeight="1" x14ac:dyDescent="0.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K253" s="54"/>
      <c r="AL253" s="54"/>
      <c r="AM253" s="54"/>
    </row>
    <row r="254" spans="1:39" ht="15.75" customHeight="1" x14ac:dyDescent="0.3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K254" s="54"/>
      <c r="AL254" s="54"/>
      <c r="AM254" s="54"/>
    </row>
    <row r="255" spans="1:39" ht="15.75" customHeight="1" x14ac:dyDescent="0.3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K255" s="54"/>
      <c r="AL255" s="54"/>
      <c r="AM255" s="54"/>
    </row>
    <row r="256" spans="1:39" ht="15.75" customHeight="1" x14ac:dyDescent="0.3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K256" s="54"/>
      <c r="AL256" s="54"/>
      <c r="AM256" s="54"/>
    </row>
    <row r="257" spans="1:39" ht="15.75" customHeight="1" x14ac:dyDescent="0.3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K257" s="54"/>
      <c r="AL257" s="54"/>
      <c r="AM257" s="54"/>
    </row>
    <row r="258" spans="1:39" ht="15.75" customHeight="1" x14ac:dyDescent="0.3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K258" s="54"/>
      <c r="AL258" s="54"/>
      <c r="AM258" s="54"/>
    </row>
    <row r="259" spans="1:39" ht="15.75" customHeight="1" x14ac:dyDescent="0.3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K259" s="54"/>
      <c r="AL259" s="54"/>
      <c r="AM259" s="54"/>
    </row>
    <row r="260" spans="1:39" ht="15.75" customHeight="1" x14ac:dyDescent="0.3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K260" s="54"/>
      <c r="AL260" s="54"/>
      <c r="AM260" s="54"/>
    </row>
    <row r="261" spans="1:39" ht="15.75" customHeight="1" x14ac:dyDescent="0.3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K261" s="54"/>
      <c r="AL261" s="54"/>
      <c r="AM261" s="54"/>
    </row>
    <row r="262" spans="1:39" ht="15.75" customHeight="1" x14ac:dyDescent="0.3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K262" s="54"/>
      <c r="AL262" s="54"/>
      <c r="AM262" s="54"/>
    </row>
    <row r="263" spans="1:39" ht="15.75" customHeight="1" x14ac:dyDescent="0.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K263" s="54"/>
      <c r="AL263" s="54"/>
      <c r="AM263" s="54"/>
    </row>
    <row r="264" spans="1:39" ht="15.75" customHeight="1" x14ac:dyDescent="0.3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K264" s="54"/>
      <c r="AL264" s="54"/>
      <c r="AM264" s="54"/>
    </row>
    <row r="265" spans="1:39" ht="15.75" customHeight="1" x14ac:dyDescent="0.3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K265" s="54"/>
      <c r="AL265" s="54"/>
      <c r="AM265" s="54"/>
    </row>
    <row r="266" spans="1:39" ht="15.75" customHeight="1" x14ac:dyDescent="0.3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K266" s="54"/>
      <c r="AL266" s="54"/>
      <c r="AM266" s="54"/>
    </row>
    <row r="267" spans="1:39" ht="15.75" customHeight="1" x14ac:dyDescent="0.3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K267" s="54"/>
      <c r="AL267" s="54"/>
      <c r="AM267" s="54"/>
    </row>
    <row r="268" spans="1:39" ht="15.75" customHeight="1" x14ac:dyDescent="0.3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K268" s="54"/>
      <c r="AL268" s="54"/>
      <c r="AM268" s="54"/>
    </row>
    <row r="269" spans="1:39" ht="15.75" customHeight="1" x14ac:dyDescent="0.3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K269" s="54"/>
      <c r="AL269" s="54"/>
      <c r="AM269" s="54"/>
    </row>
    <row r="270" spans="1:39" ht="15.75" customHeight="1" x14ac:dyDescent="0.3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K270" s="54"/>
      <c r="AL270" s="54"/>
      <c r="AM270" s="54"/>
    </row>
    <row r="271" spans="1:39" ht="15.75" customHeight="1" x14ac:dyDescent="0.3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K271" s="54"/>
      <c r="AL271" s="54"/>
      <c r="AM271" s="54"/>
    </row>
    <row r="272" spans="1:39" ht="15.75" customHeight="1" x14ac:dyDescent="0.3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K272" s="54"/>
      <c r="AL272" s="54"/>
      <c r="AM272" s="54"/>
    </row>
    <row r="273" spans="1:39" ht="15.75" customHeight="1" x14ac:dyDescent="0.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K273" s="54"/>
      <c r="AL273" s="54"/>
      <c r="AM273" s="54"/>
    </row>
    <row r="274" spans="1:39" ht="15.75" customHeight="1" x14ac:dyDescent="0.3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K274" s="54"/>
      <c r="AL274" s="54"/>
      <c r="AM274" s="54"/>
    </row>
    <row r="275" spans="1:39" ht="15.75" customHeight="1" x14ac:dyDescent="0.3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K275" s="54"/>
      <c r="AL275" s="54"/>
      <c r="AM275" s="54"/>
    </row>
    <row r="276" spans="1:39" ht="15.75" customHeight="1" x14ac:dyDescent="0.3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K276" s="54"/>
      <c r="AL276" s="54"/>
      <c r="AM276" s="54"/>
    </row>
    <row r="277" spans="1:39" ht="15.75" customHeight="1" x14ac:dyDescent="0.3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K277" s="54"/>
      <c r="AL277" s="54"/>
      <c r="AM277" s="54"/>
    </row>
    <row r="278" spans="1:39" ht="15.75" customHeight="1" x14ac:dyDescent="0.3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K278" s="54"/>
      <c r="AL278" s="54"/>
      <c r="AM278" s="54"/>
    </row>
    <row r="279" spans="1:39" ht="15.75" customHeight="1" x14ac:dyDescent="0.3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K279" s="54"/>
      <c r="AL279" s="54"/>
      <c r="AM279" s="54"/>
    </row>
    <row r="280" spans="1:39" ht="15.75" customHeight="1" x14ac:dyDescent="0.3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K280" s="54"/>
      <c r="AL280" s="54"/>
      <c r="AM280" s="54"/>
    </row>
    <row r="281" spans="1:39" ht="15.75" customHeight="1" x14ac:dyDescent="0.3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K281" s="54"/>
      <c r="AL281" s="54"/>
      <c r="AM281" s="54"/>
    </row>
    <row r="282" spans="1:39" ht="15.75" customHeight="1" x14ac:dyDescent="0.3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K282" s="54"/>
      <c r="AL282" s="54"/>
      <c r="AM282" s="54"/>
    </row>
    <row r="283" spans="1:39" ht="15.75" customHeight="1" x14ac:dyDescent="0.3">
      <c r="AK283" s="54"/>
      <c r="AL283" s="54"/>
      <c r="AM283" s="54"/>
    </row>
    <row r="284" spans="1:39" ht="15.75" customHeight="1" x14ac:dyDescent="0.3">
      <c r="AK284" s="54"/>
      <c r="AL284" s="54"/>
      <c r="AM284" s="54"/>
    </row>
    <row r="285" spans="1:39" ht="15.75" customHeight="1" x14ac:dyDescent="0.3">
      <c r="AK285" s="54"/>
      <c r="AL285" s="54"/>
      <c r="AM285" s="54"/>
    </row>
    <row r="286" spans="1:39" ht="15.75" customHeight="1" x14ac:dyDescent="0.3">
      <c r="AK286" s="54"/>
      <c r="AL286" s="54"/>
      <c r="AM286" s="54"/>
    </row>
    <row r="287" spans="1:39" ht="15.75" customHeight="1" x14ac:dyDescent="0.3">
      <c r="AK287" s="54"/>
      <c r="AL287" s="54"/>
      <c r="AM287" s="54"/>
    </row>
    <row r="288" spans="1:39" ht="15.75" customHeight="1" x14ac:dyDescent="0.3">
      <c r="AK288" s="54"/>
      <c r="AL288" s="54"/>
      <c r="AM288" s="54"/>
    </row>
    <row r="289" spans="37:39" ht="15.75" customHeight="1" x14ac:dyDescent="0.3">
      <c r="AK289" s="54"/>
      <c r="AL289" s="54"/>
      <c r="AM289" s="54"/>
    </row>
    <row r="290" spans="37:39" ht="15.75" customHeight="1" x14ac:dyDescent="0.3">
      <c r="AK290" s="54"/>
      <c r="AL290" s="54"/>
      <c r="AM290" s="54"/>
    </row>
    <row r="291" spans="37:39" ht="15.75" customHeight="1" x14ac:dyDescent="0.3">
      <c r="AK291" s="54"/>
      <c r="AL291" s="54"/>
      <c r="AM291" s="54"/>
    </row>
    <row r="292" spans="37:39" ht="15.75" customHeight="1" x14ac:dyDescent="0.3">
      <c r="AK292" s="54"/>
      <c r="AL292" s="54"/>
      <c r="AM292" s="54"/>
    </row>
    <row r="293" spans="37:39" ht="15.75" customHeight="1" x14ac:dyDescent="0.3">
      <c r="AK293" s="54"/>
      <c r="AL293" s="54"/>
      <c r="AM293" s="54"/>
    </row>
    <row r="294" spans="37:39" ht="15.75" customHeight="1" x14ac:dyDescent="0.3">
      <c r="AK294" s="54"/>
      <c r="AL294" s="54"/>
      <c r="AM294" s="54"/>
    </row>
    <row r="295" spans="37:39" ht="15.75" customHeight="1" x14ac:dyDescent="0.3">
      <c r="AK295" s="54"/>
      <c r="AL295" s="54"/>
      <c r="AM295" s="54"/>
    </row>
    <row r="296" spans="37:39" ht="15.75" customHeight="1" x14ac:dyDescent="0.3">
      <c r="AK296" s="54"/>
      <c r="AL296" s="54"/>
      <c r="AM296" s="54"/>
    </row>
    <row r="297" spans="37:39" ht="15.75" customHeight="1" x14ac:dyDescent="0.3">
      <c r="AK297" s="54"/>
      <c r="AL297" s="54"/>
      <c r="AM297" s="54"/>
    </row>
    <row r="298" spans="37:39" ht="15.75" customHeight="1" x14ac:dyDescent="0.3">
      <c r="AK298" s="54"/>
      <c r="AL298" s="54"/>
      <c r="AM298" s="54"/>
    </row>
    <row r="299" spans="37:39" ht="15.75" customHeight="1" x14ac:dyDescent="0.3">
      <c r="AK299" s="54"/>
      <c r="AL299" s="54"/>
      <c r="AM299" s="54"/>
    </row>
    <row r="300" spans="37:39" ht="15.75" customHeight="1" x14ac:dyDescent="0.3">
      <c r="AK300" s="54"/>
      <c r="AL300" s="54"/>
      <c r="AM300" s="54"/>
    </row>
    <row r="301" spans="37:39" ht="15.75" customHeight="1" x14ac:dyDescent="0.3">
      <c r="AK301" s="54"/>
      <c r="AL301" s="54"/>
      <c r="AM301" s="54"/>
    </row>
    <row r="302" spans="37:39" ht="15.75" customHeight="1" x14ac:dyDescent="0.3">
      <c r="AK302" s="54"/>
      <c r="AL302" s="54"/>
      <c r="AM302" s="54"/>
    </row>
    <row r="303" spans="37:39" ht="15.75" customHeight="1" x14ac:dyDescent="0.3">
      <c r="AK303" s="54"/>
      <c r="AL303" s="54"/>
      <c r="AM303" s="54"/>
    </row>
    <row r="304" spans="37:39" ht="15.75" customHeight="1" x14ac:dyDescent="0.3">
      <c r="AK304" s="54"/>
      <c r="AL304" s="54"/>
      <c r="AM304" s="54"/>
    </row>
    <row r="305" spans="37:39" ht="15.75" customHeight="1" x14ac:dyDescent="0.3">
      <c r="AK305" s="54"/>
      <c r="AL305" s="54"/>
      <c r="AM305" s="54"/>
    </row>
    <row r="306" spans="37:39" ht="15.75" customHeight="1" x14ac:dyDescent="0.3">
      <c r="AK306" s="54"/>
      <c r="AL306" s="54"/>
      <c r="AM306" s="54"/>
    </row>
    <row r="307" spans="37:39" ht="15.75" customHeight="1" x14ac:dyDescent="0.3">
      <c r="AK307" s="54"/>
      <c r="AL307" s="54"/>
      <c r="AM307" s="54"/>
    </row>
    <row r="308" spans="37:39" ht="15.75" customHeight="1" x14ac:dyDescent="0.3">
      <c r="AK308" s="54"/>
      <c r="AL308" s="54"/>
      <c r="AM308" s="54"/>
    </row>
    <row r="309" spans="37:39" ht="15.75" customHeight="1" x14ac:dyDescent="0.3">
      <c r="AK309" s="54"/>
      <c r="AL309" s="54"/>
      <c r="AM309" s="54"/>
    </row>
    <row r="310" spans="37:39" ht="15.75" customHeight="1" x14ac:dyDescent="0.3">
      <c r="AK310" s="54"/>
      <c r="AL310" s="54"/>
      <c r="AM310" s="54"/>
    </row>
    <row r="311" spans="37:39" ht="15.75" customHeight="1" x14ac:dyDescent="0.3">
      <c r="AK311" s="54"/>
      <c r="AL311" s="54"/>
      <c r="AM311" s="54"/>
    </row>
    <row r="312" spans="37:39" ht="15.75" customHeight="1" x14ac:dyDescent="0.3">
      <c r="AK312" s="54"/>
      <c r="AL312" s="54"/>
      <c r="AM312" s="54"/>
    </row>
    <row r="313" spans="37:39" ht="15.75" customHeight="1" x14ac:dyDescent="0.3">
      <c r="AK313" s="54"/>
      <c r="AL313" s="54"/>
      <c r="AM313" s="54"/>
    </row>
    <row r="314" spans="37:39" ht="15.75" customHeight="1" x14ac:dyDescent="0.3">
      <c r="AK314" s="54"/>
      <c r="AL314" s="54"/>
      <c r="AM314" s="54"/>
    </row>
    <row r="315" spans="37:39" ht="15.75" customHeight="1" x14ac:dyDescent="0.3">
      <c r="AK315" s="54"/>
      <c r="AL315" s="54"/>
      <c r="AM315" s="54"/>
    </row>
    <row r="316" spans="37:39" ht="15.75" customHeight="1" x14ac:dyDescent="0.3">
      <c r="AK316" s="54"/>
      <c r="AL316" s="54"/>
      <c r="AM316" s="54"/>
    </row>
    <row r="317" spans="37:39" ht="15.75" customHeight="1" x14ac:dyDescent="0.3">
      <c r="AK317" s="54"/>
      <c r="AL317" s="54"/>
      <c r="AM317" s="54"/>
    </row>
    <row r="318" spans="37:39" ht="15.75" customHeight="1" x14ac:dyDescent="0.3">
      <c r="AK318" s="54"/>
      <c r="AL318" s="54"/>
      <c r="AM318" s="54"/>
    </row>
    <row r="319" spans="37:39" ht="15.75" customHeight="1" x14ac:dyDescent="0.3">
      <c r="AK319" s="54"/>
      <c r="AL319" s="54"/>
      <c r="AM319" s="54"/>
    </row>
    <row r="320" spans="37:39" ht="15.75" customHeight="1" x14ac:dyDescent="0.3">
      <c r="AK320" s="54"/>
      <c r="AL320" s="54"/>
      <c r="AM320" s="54"/>
    </row>
    <row r="321" spans="37:39" ht="15.75" customHeight="1" x14ac:dyDescent="0.3">
      <c r="AK321" s="54"/>
      <c r="AL321" s="54"/>
      <c r="AM321" s="54"/>
    </row>
    <row r="322" spans="37:39" ht="15.75" customHeight="1" x14ac:dyDescent="0.3">
      <c r="AK322" s="54"/>
      <c r="AL322" s="54"/>
      <c r="AM322" s="54"/>
    </row>
    <row r="323" spans="37:39" ht="15.75" customHeight="1" x14ac:dyDescent="0.3">
      <c r="AK323" s="54"/>
      <c r="AL323" s="54"/>
      <c r="AM323" s="54"/>
    </row>
    <row r="324" spans="37:39" ht="15.75" customHeight="1" x14ac:dyDescent="0.3">
      <c r="AK324" s="54"/>
      <c r="AL324" s="54"/>
      <c r="AM324" s="54"/>
    </row>
    <row r="325" spans="37:39" ht="15.75" customHeight="1" x14ac:dyDescent="0.3">
      <c r="AK325" s="54"/>
      <c r="AL325" s="54"/>
      <c r="AM325" s="54"/>
    </row>
    <row r="326" spans="37:39" ht="15.75" customHeight="1" x14ac:dyDescent="0.3">
      <c r="AK326" s="54"/>
      <c r="AL326" s="54"/>
      <c r="AM326" s="54"/>
    </row>
    <row r="327" spans="37:39" ht="15.75" customHeight="1" x14ac:dyDescent="0.3">
      <c r="AK327" s="54"/>
      <c r="AL327" s="54"/>
      <c r="AM327" s="54"/>
    </row>
    <row r="328" spans="37:39" ht="15.75" customHeight="1" x14ac:dyDescent="0.3">
      <c r="AK328" s="54"/>
      <c r="AL328" s="54"/>
      <c r="AM328" s="54"/>
    </row>
    <row r="329" spans="37:39" ht="15.75" customHeight="1" x14ac:dyDescent="0.3">
      <c r="AK329" s="54"/>
      <c r="AL329" s="54"/>
      <c r="AM329" s="54"/>
    </row>
    <row r="330" spans="37:39" ht="15.75" customHeight="1" x14ac:dyDescent="0.3">
      <c r="AK330" s="54"/>
      <c r="AL330" s="54"/>
      <c r="AM330" s="54"/>
    </row>
    <row r="331" spans="37:39" ht="15.75" customHeight="1" x14ac:dyDescent="0.3">
      <c r="AK331" s="54"/>
      <c r="AL331" s="54"/>
      <c r="AM331" s="54"/>
    </row>
    <row r="332" spans="37:39" ht="15.75" customHeight="1" x14ac:dyDescent="0.3">
      <c r="AK332" s="54"/>
      <c r="AL332" s="54"/>
      <c r="AM332" s="54"/>
    </row>
    <row r="333" spans="37:39" ht="15.75" customHeight="1" x14ac:dyDescent="0.3">
      <c r="AK333" s="54"/>
      <c r="AL333" s="54"/>
      <c r="AM333" s="54"/>
    </row>
    <row r="334" spans="37:39" ht="15.75" customHeight="1" x14ac:dyDescent="0.3">
      <c r="AK334" s="54"/>
      <c r="AL334" s="54"/>
      <c r="AM334" s="54"/>
    </row>
    <row r="335" spans="37:39" ht="15.75" customHeight="1" x14ac:dyDescent="0.3">
      <c r="AK335" s="54"/>
      <c r="AL335" s="54"/>
      <c r="AM335" s="54"/>
    </row>
    <row r="336" spans="37:39" ht="15.75" customHeight="1" x14ac:dyDescent="0.3">
      <c r="AK336" s="54"/>
      <c r="AL336" s="54"/>
      <c r="AM336" s="54"/>
    </row>
    <row r="337" spans="37:39" ht="15.75" customHeight="1" x14ac:dyDescent="0.3">
      <c r="AK337" s="54"/>
      <c r="AL337" s="54"/>
      <c r="AM337" s="54"/>
    </row>
    <row r="338" spans="37:39" ht="15.75" customHeight="1" x14ac:dyDescent="0.3">
      <c r="AK338" s="54"/>
      <c r="AL338" s="54"/>
      <c r="AM338" s="54"/>
    </row>
    <row r="339" spans="37:39" ht="15.75" customHeight="1" x14ac:dyDescent="0.3">
      <c r="AK339" s="54"/>
      <c r="AL339" s="54"/>
      <c r="AM339" s="54"/>
    </row>
    <row r="340" spans="37:39" ht="15.75" customHeight="1" x14ac:dyDescent="0.3">
      <c r="AK340" s="54"/>
      <c r="AL340" s="54"/>
      <c r="AM340" s="54"/>
    </row>
    <row r="341" spans="37:39" ht="15.75" customHeight="1" x14ac:dyDescent="0.3">
      <c r="AK341" s="54"/>
      <c r="AL341" s="54"/>
      <c r="AM341" s="54"/>
    </row>
    <row r="342" spans="37:39" ht="15.75" customHeight="1" x14ac:dyDescent="0.3">
      <c r="AK342" s="54"/>
      <c r="AL342" s="54"/>
      <c r="AM342" s="54"/>
    </row>
    <row r="343" spans="37:39" ht="15.75" customHeight="1" x14ac:dyDescent="0.3">
      <c r="AK343" s="54"/>
      <c r="AL343" s="54"/>
      <c r="AM343" s="54"/>
    </row>
    <row r="344" spans="37:39" ht="15.75" customHeight="1" x14ac:dyDescent="0.3">
      <c r="AK344" s="54"/>
      <c r="AL344" s="54"/>
      <c r="AM344" s="54"/>
    </row>
    <row r="345" spans="37:39" ht="15.75" customHeight="1" x14ac:dyDescent="0.3">
      <c r="AK345" s="54"/>
      <c r="AL345" s="54"/>
      <c r="AM345" s="54"/>
    </row>
    <row r="346" spans="37:39" ht="15.75" customHeight="1" x14ac:dyDescent="0.3">
      <c r="AK346" s="54"/>
      <c r="AL346" s="54"/>
      <c r="AM346" s="54"/>
    </row>
    <row r="347" spans="37:39" ht="15.75" customHeight="1" x14ac:dyDescent="0.3">
      <c r="AK347" s="54"/>
      <c r="AL347" s="54"/>
      <c r="AM347" s="54"/>
    </row>
    <row r="348" spans="37:39" ht="15.75" customHeight="1" x14ac:dyDescent="0.3">
      <c r="AK348" s="54"/>
      <c r="AL348" s="54"/>
      <c r="AM348" s="54"/>
    </row>
    <row r="349" spans="37:39" ht="15.75" customHeight="1" x14ac:dyDescent="0.3">
      <c r="AK349" s="54"/>
      <c r="AL349" s="54"/>
      <c r="AM349" s="54"/>
    </row>
    <row r="350" spans="37:39" ht="15.75" customHeight="1" x14ac:dyDescent="0.3">
      <c r="AK350" s="54"/>
      <c r="AL350" s="54"/>
      <c r="AM350" s="54"/>
    </row>
    <row r="351" spans="37:39" ht="15.75" customHeight="1" x14ac:dyDescent="0.3">
      <c r="AK351" s="54"/>
      <c r="AL351" s="54"/>
      <c r="AM351" s="54"/>
    </row>
    <row r="352" spans="37:39" ht="15.75" customHeight="1" x14ac:dyDescent="0.3">
      <c r="AK352" s="54"/>
      <c r="AL352" s="54"/>
      <c r="AM352" s="54"/>
    </row>
    <row r="353" spans="37:39" ht="15.75" customHeight="1" x14ac:dyDescent="0.3">
      <c r="AK353" s="54"/>
      <c r="AL353" s="54"/>
      <c r="AM353" s="54"/>
    </row>
    <row r="354" spans="37:39" ht="15.75" customHeight="1" x14ac:dyDescent="0.3">
      <c r="AK354" s="54"/>
      <c r="AL354" s="54"/>
      <c r="AM354" s="54"/>
    </row>
    <row r="355" spans="37:39" ht="15.75" customHeight="1" x14ac:dyDescent="0.3">
      <c r="AK355" s="54"/>
      <c r="AL355" s="54"/>
      <c r="AM355" s="54"/>
    </row>
    <row r="356" spans="37:39" ht="15.75" customHeight="1" x14ac:dyDescent="0.3">
      <c r="AK356" s="54"/>
      <c r="AL356" s="54"/>
      <c r="AM356" s="54"/>
    </row>
    <row r="357" spans="37:39" ht="15.75" customHeight="1" x14ac:dyDescent="0.3">
      <c r="AK357" s="54"/>
      <c r="AL357" s="54"/>
      <c r="AM357" s="54"/>
    </row>
    <row r="358" spans="37:39" ht="15.75" customHeight="1" x14ac:dyDescent="0.3">
      <c r="AK358" s="54"/>
      <c r="AL358" s="54"/>
      <c r="AM358" s="54"/>
    </row>
    <row r="359" spans="37:39" ht="15.75" customHeight="1" x14ac:dyDescent="0.3">
      <c r="AK359" s="54"/>
      <c r="AL359" s="54"/>
      <c r="AM359" s="54"/>
    </row>
    <row r="360" spans="37:39" ht="15.75" customHeight="1" x14ac:dyDescent="0.3">
      <c r="AK360" s="54"/>
      <c r="AL360" s="54"/>
      <c r="AM360" s="54"/>
    </row>
    <row r="361" spans="37:39" ht="15.75" customHeight="1" x14ac:dyDescent="0.3">
      <c r="AK361" s="54"/>
      <c r="AL361" s="54"/>
      <c r="AM361" s="54"/>
    </row>
    <row r="362" spans="37:39" ht="15.75" customHeight="1" x14ac:dyDescent="0.3">
      <c r="AK362" s="54"/>
      <c r="AL362" s="54"/>
      <c r="AM362" s="54"/>
    </row>
    <row r="363" spans="37:39" ht="15.75" customHeight="1" x14ac:dyDescent="0.3">
      <c r="AK363" s="54"/>
      <c r="AL363" s="54"/>
      <c r="AM363" s="54"/>
    </row>
    <row r="364" spans="37:39" ht="15.75" customHeight="1" x14ac:dyDescent="0.3">
      <c r="AK364" s="54"/>
      <c r="AL364" s="54"/>
      <c r="AM364" s="54"/>
    </row>
    <row r="365" spans="37:39" ht="15.75" customHeight="1" x14ac:dyDescent="0.3">
      <c r="AK365" s="54"/>
      <c r="AL365" s="54"/>
      <c r="AM365" s="54"/>
    </row>
    <row r="366" spans="37:39" ht="15.75" customHeight="1" x14ac:dyDescent="0.3">
      <c r="AK366" s="54"/>
      <c r="AL366" s="54"/>
      <c r="AM366" s="54"/>
    </row>
    <row r="367" spans="37:39" ht="15.75" customHeight="1" x14ac:dyDescent="0.3">
      <c r="AK367" s="54"/>
      <c r="AL367" s="54"/>
      <c r="AM367" s="54"/>
    </row>
    <row r="368" spans="37:39" ht="15.75" customHeight="1" x14ac:dyDescent="0.3">
      <c r="AK368" s="54"/>
      <c r="AL368" s="54"/>
      <c r="AM368" s="54"/>
    </row>
    <row r="369" spans="37:39" ht="15.75" customHeight="1" x14ac:dyDescent="0.3">
      <c r="AK369" s="54"/>
      <c r="AL369" s="54"/>
      <c r="AM369" s="54"/>
    </row>
    <row r="370" spans="37:39" ht="15.75" customHeight="1" x14ac:dyDescent="0.3">
      <c r="AK370" s="54"/>
      <c r="AL370" s="54"/>
      <c r="AM370" s="54"/>
    </row>
    <row r="371" spans="37:39" ht="15.75" customHeight="1" x14ac:dyDescent="0.3">
      <c r="AK371" s="54"/>
      <c r="AL371" s="54"/>
      <c r="AM371" s="54"/>
    </row>
    <row r="372" spans="37:39" ht="15.75" customHeight="1" x14ac:dyDescent="0.3">
      <c r="AK372" s="54"/>
      <c r="AL372" s="54"/>
      <c r="AM372" s="54"/>
    </row>
    <row r="373" spans="37:39" ht="15.75" customHeight="1" x14ac:dyDescent="0.3">
      <c r="AK373" s="54"/>
      <c r="AL373" s="54"/>
      <c r="AM373" s="54"/>
    </row>
    <row r="374" spans="37:39" ht="15.75" customHeight="1" x14ac:dyDescent="0.3">
      <c r="AK374" s="54"/>
      <c r="AL374" s="54"/>
      <c r="AM374" s="54"/>
    </row>
    <row r="375" spans="37:39" ht="15.75" customHeight="1" x14ac:dyDescent="0.3">
      <c r="AK375" s="54"/>
      <c r="AL375" s="54"/>
      <c r="AM375" s="54"/>
    </row>
    <row r="376" spans="37:39" ht="15.75" customHeight="1" x14ac:dyDescent="0.3">
      <c r="AK376" s="54"/>
      <c r="AL376" s="54"/>
      <c r="AM376" s="54"/>
    </row>
    <row r="377" spans="37:39" ht="15.75" customHeight="1" x14ac:dyDescent="0.3">
      <c r="AK377" s="54"/>
      <c r="AL377" s="54"/>
      <c r="AM377" s="54"/>
    </row>
    <row r="378" spans="37:39" ht="15.75" customHeight="1" x14ac:dyDescent="0.3">
      <c r="AK378" s="54"/>
      <c r="AL378" s="54"/>
      <c r="AM378" s="54"/>
    </row>
    <row r="379" spans="37:39" ht="15.75" customHeight="1" x14ac:dyDescent="0.3">
      <c r="AK379" s="54"/>
      <c r="AL379" s="54"/>
      <c r="AM379" s="54"/>
    </row>
    <row r="380" spans="37:39" ht="15.75" customHeight="1" x14ac:dyDescent="0.3">
      <c r="AK380" s="54"/>
      <c r="AL380" s="54"/>
      <c r="AM380" s="54"/>
    </row>
    <row r="381" spans="37:39" ht="15.75" customHeight="1" x14ac:dyDescent="0.3">
      <c r="AK381" s="54"/>
      <c r="AL381" s="54"/>
      <c r="AM381" s="54"/>
    </row>
    <row r="382" spans="37:39" ht="15.75" customHeight="1" x14ac:dyDescent="0.3">
      <c r="AK382" s="54"/>
      <c r="AL382" s="54"/>
      <c r="AM382" s="54"/>
    </row>
    <row r="383" spans="37:39" ht="15.75" customHeight="1" x14ac:dyDescent="0.3">
      <c r="AK383" s="54"/>
      <c r="AL383" s="54"/>
      <c r="AM383" s="54"/>
    </row>
    <row r="384" spans="37:39" ht="15.75" customHeight="1" x14ac:dyDescent="0.3">
      <c r="AK384" s="54"/>
      <c r="AL384" s="54"/>
      <c r="AM384" s="54"/>
    </row>
    <row r="385" spans="37:39" ht="15.75" customHeight="1" x14ac:dyDescent="0.3">
      <c r="AK385" s="54"/>
      <c r="AL385" s="54"/>
      <c r="AM385" s="54"/>
    </row>
    <row r="386" spans="37:39" ht="15.75" customHeight="1" x14ac:dyDescent="0.3">
      <c r="AK386" s="54"/>
      <c r="AL386" s="54"/>
      <c r="AM386" s="54"/>
    </row>
    <row r="387" spans="37:39" ht="15.75" customHeight="1" x14ac:dyDescent="0.3">
      <c r="AK387" s="54"/>
      <c r="AL387" s="54"/>
      <c r="AM387" s="54"/>
    </row>
    <row r="388" spans="37:39" ht="15.75" customHeight="1" x14ac:dyDescent="0.3">
      <c r="AK388" s="54"/>
      <c r="AL388" s="54"/>
      <c r="AM388" s="54"/>
    </row>
    <row r="389" spans="37:39" ht="15.75" customHeight="1" x14ac:dyDescent="0.3">
      <c r="AK389" s="54"/>
      <c r="AL389" s="54"/>
      <c r="AM389" s="54"/>
    </row>
    <row r="390" spans="37:39" ht="15.75" customHeight="1" x14ac:dyDescent="0.3">
      <c r="AK390" s="54"/>
      <c r="AL390" s="54"/>
      <c r="AM390" s="54"/>
    </row>
    <row r="391" spans="37:39" ht="15.75" customHeight="1" x14ac:dyDescent="0.3">
      <c r="AK391" s="54"/>
      <c r="AL391" s="54"/>
      <c r="AM391" s="54"/>
    </row>
    <row r="392" spans="37:39" ht="15.75" customHeight="1" x14ac:dyDescent="0.3">
      <c r="AK392" s="54"/>
      <c r="AL392" s="54"/>
      <c r="AM392" s="54"/>
    </row>
    <row r="393" spans="37:39" ht="15.75" customHeight="1" x14ac:dyDescent="0.3">
      <c r="AK393" s="54"/>
      <c r="AL393" s="54"/>
      <c r="AM393" s="54"/>
    </row>
    <row r="394" spans="37:39" ht="15.75" customHeight="1" x14ac:dyDescent="0.3">
      <c r="AK394" s="54"/>
      <c r="AL394" s="54"/>
      <c r="AM394" s="54"/>
    </row>
    <row r="395" spans="37:39" ht="15.75" customHeight="1" x14ac:dyDescent="0.3">
      <c r="AK395" s="54"/>
      <c r="AL395" s="54"/>
      <c r="AM395" s="54"/>
    </row>
    <row r="396" spans="37:39" ht="15.75" customHeight="1" x14ac:dyDescent="0.3">
      <c r="AK396" s="54"/>
      <c r="AL396" s="54"/>
      <c r="AM396" s="54"/>
    </row>
    <row r="397" spans="37:39" ht="15.75" customHeight="1" x14ac:dyDescent="0.3">
      <c r="AK397" s="54"/>
      <c r="AL397" s="54"/>
      <c r="AM397" s="54"/>
    </row>
    <row r="398" spans="37:39" ht="15.75" customHeight="1" x14ac:dyDescent="0.3">
      <c r="AK398" s="54"/>
      <c r="AL398" s="54"/>
      <c r="AM398" s="54"/>
    </row>
    <row r="399" spans="37:39" ht="15.75" customHeight="1" x14ac:dyDescent="0.3">
      <c r="AK399" s="54"/>
      <c r="AL399" s="54"/>
      <c r="AM399" s="54"/>
    </row>
    <row r="400" spans="37:39" ht="15.75" customHeight="1" x14ac:dyDescent="0.3">
      <c r="AK400" s="54"/>
      <c r="AL400" s="54"/>
      <c r="AM400" s="54"/>
    </row>
    <row r="401" spans="37:39" ht="15.75" customHeight="1" x14ac:dyDescent="0.3">
      <c r="AK401" s="54"/>
      <c r="AL401" s="54"/>
      <c r="AM401" s="54"/>
    </row>
    <row r="402" spans="37:39" ht="15.75" customHeight="1" x14ac:dyDescent="0.3">
      <c r="AK402" s="54"/>
      <c r="AL402" s="54"/>
      <c r="AM402" s="54"/>
    </row>
    <row r="403" spans="37:39" ht="15.75" customHeight="1" x14ac:dyDescent="0.3">
      <c r="AK403" s="54"/>
      <c r="AL403" s="54"/>
      <c r="AM403" s="54"/>
    </row>
    <row r="404" spans="37:39" ht="15.75" customHeight="1" x14ac:dyDescent="0.3">
      <c r="AK404" s="54"/>
      <c r="AL404" s="54"/>
      <c r="AM404" s="54"/>
    </row>
    <row r="405" spans="37:39" ht="15.75" customHeight="1" x14ac:dyDescent="0.3">
      <c r="AK405" s="54"/>
      <c r="AL405" s="54"/>
      <c r="AM405" s="54"/>
    </row>
    <row r="406" spans="37:39" ht="15.75" customHeight="1" x14ac:dyDescent="0.3">
      <c r="AK406" s="54"/>
      <c r="AL406" s="54"/>
      <c r="AM406" s="54"/>
    </row>
    <row r="407" spans="37:39" ht="15.75" customHeight="1" x14ac:dyDescent="0.3">
      <c r="AK407" s="54"/>
      <c r="AL407" s="54"/>
      <c r="AM407" s="54"/>
    </row>
    <row r="408" spans="37:39" ht="15.75" customHeight="1" x14ac:dyDescent="0.3">
      <c r="AK408" s="54"/>
      <c r="AL408" s="54"/>
      <c r="AM408" s="54"/>
    </row>
    <row r="409" spans="37:39" ht="15.75" customHeight="1" x14ac:dyDescent="0.3">
      <c r="AK409" s="54"/>
      <c r="AL409" s="54"/>
      <c r="AM409" s="54"/>
    </row>
    <row r="410" spans="37:39" ht="15.75" customHeight="1" x14ac:dyDescent="0.3">
      <c r="AK410" s="54"/>
      <c r="AL410" s="54"/>
      <c r="AM410" s="54"/>
    </row>
    <row r="411" spans="37:39" ht="15.75" customHeight="1" x14ac:dyDescent="0.3">
      <c r="AK411" s="54"/>
      <c r="AL411" s="54"/>
      <c r="AM411" s="54"/>
    </row>
    <row r="412" spans="37:39" ht="15.75" customHeight="1" x14ac:dyDescent="0.3">
      <c r="AK412" s="54"/>
      <c r="AL412" s="54"/>
      <c r="AM412" s="54"/>
    </row>
    <row r="413" spans="37:39" ht="15.75" customHeight="1" x14ac:dyDescent="0.3">
      <c r="AK413" s="54"/>
      <c r="AL413" s="54"/>
      <c r="AM413" s="54"/>
    </row>
    <row r="414" spans="37:39" ht="15.75" customHeight="1" x14ac:dyDescent="0.3">
      <c r="AK414" s="54"/>
      <c r="AL414" s="54"/>
      <c r="AM414" s="54"/>
    </row>
    <row r="415" spans="37:39" ht="15.75" customHeight="1" x14ac:dyDescent="0.3">
      <c r="AK415" s="54"/>
      <c r="AL415" s="54"/>
      <c r="AM415" s="54"/>
    </row>
    <row r="416" spans="37:39" ht="15.75" customHeight="1" x14ac:dyDescent="0.3">
      <c r="AK416" s="54"/>
      <c r="AL416" s="54"/>
      <c r="AM416" s="54"/>
    </row>
    <row r="417" spans="37:39" ht="15.75" customHeight="1" x14ac:dyDescent="0.3">
      <c r="AK417" s="54"/>
      <c r="AL417" s="54"/>
      <c r="AM417" s="54"/>
    </row>
    <row r="418" spans="37:39" ht="15.75" customHeight="1" x14ac:dyDescent="0.3">
      <c r="AK418" s="54"/>
      <c r="AL418" s="54"/>
      <c r="AM418" s="54"/>
    </row>
    <row r="419" spans="37:39" ht="15.75" customHeight="1" x14ac:dyDescent="0.3">
      <c r="AK419" s="54"/>
      <c r="AL419" s="54"/>
      <c r="AM419" s="54"/>
    </row>
    <row r="420" spans="37:39" ht="15.75" customHeight="1" x14ac:dyDescent="0.3">
      <c r="AK420" s="54"/>
      <c r="AL420" s="54"/>
      <c r="AM420" s="54"/>
    </row>
    <row r="421" spans="37:39" ht="15.75" customHeight="1" x14ac:dyDescent="0.3">
      <c r="AK421" s="54"/>
      <c r="AL421" s="54"/>
      <c r="AM421" s="54"/>
    </row>
    <row r="422" spans="37:39" ht="15.75" customHeight="1" x14ac:dyDescent="0.3">
      <c r="AK422" s="54"/>
      <c r="AL422" s="54"/>
      <c r="AM422" s="54"/>
    </row>
    <row r="423" spans="37:39" ht="15.75" customHeight="1" x14ac:dyDescent="0.3">
      <c r="AK423" s="54"/>
      <c r="AL423" s="54"/>
      <c r="AM423" s="54"/>
    </row>
    <row r="424" spans="37:39" ht="15.75" customHeight="1" x14ac:dyDescent="0.3">
      <c r="AK424" s="54"/>
      <c r="AL424" s="54"/>
      <c r="AM424" s="54"/>
    </row>
    <row r="425" spans="37:39" ht="15.75" customHeight="1" x14ac:dyDescent="0.3">
      <c r="AK425" s="54"/>
      <c r="AL425" s="54"/>
      <c r="AM425" s="54"/>
    </row>
    <row r="426" spans="37:39" ht="15.75" customHeight="1" x14ac:dyDescent="0.3">
      <c r="AK426" s="54"/>
      <c r="AL426" s="54"/>
      <c r="AM426" s="54"/>
    </row>
    <row r="427" spans="37:39" ht="15.75" customHeight="1" x14ac:dyDescent="0.3">
      <c r="AK427" s="54"/>
      <c r="AL427" s="54"/>
      <c r="AM427" s="54"/>
    </row>
    <row r="428" spans="37:39" ht="15.75" customHeight="1" x14ac:dyDescent="0.3">
      <c r="AK428" s="54"/>
      <c r="AL428" s="54"/>
      <c r="AM428" s="54"/>
    </row>
    <row r="429" spans="37:39" ht="15.75" customHeight="1" x14ac:dyDescent="0.3">
      <c r="AK429" s="54"/>
      <c r="AL429" s="54"/>
      <c r="AM429" s="54"/>
    </row>
    <row r="430" spans="37:39" ht="15.75" customHeight="1" x14ac:dyDescent="0.3">
      <c r="AK430" s="54"/>
      <c r="AL430" s="54"/>
      <c r="AM430" s="54"/>
    </row>
    <row r="431" spans="37:39" ht="15.75" customHeight="1" x14ac:dyDescent="0.3">
      <c r="AK431" s="54"/>
      <c r="AL431" s="54"/>
      <c r="AM431" s="54"/>
    </row>
    <row r="432" spans="37:39" ht="15.75" customHeight="1" x14ac:dyDescent="0.3">
      <c r="AK432" s="54"/>
      <c r="AL432" s="54"/>
      <c r="AM432" s="54"/>
    </row>
    <row r="433" spans="37:39" ht="15.75" customHeight="1" x14ac:dyDescent="0.3">
      <c r="AK433" s="54"/>
      <c r="AL433" s="54"/>
      <c r="AM433" s="54"/>
    </row>
    <row r="434" spans="37:39" ht="15.75" customHeight="1" x14ac:dyDescent="0.3">
      <c r="AK434" s="54"/>
      <c r="AL434" s="54"/>
      <c r="AM434" s="54"/>
    </row>
    <row r="435" spans="37:39" ht="15.75" customHeight="1" x14ac:dyDescent="0.3">
      <c r="AK435" s="54"/>
      <c r="AL435" s="54"/>
      <c r="AM435" s="54"/>
    </row>
    <row r="436" spans="37:39" ht="15.75" customHeight="1" x14ac:dyDescent="0.3">
      <c r="AK436" s="54"/>
      <c r="AL436" s="54"/>
      <c r="AM436" s="54"/>
    </row>
    <row r="437" spans="37:39" ht="15.75" customHeight="1" x14ac:dyDescent="0.3">
      <c r="AK437" s="54"/>
      <c r="AL437" s="54"/>
      <c r="AM437" s="54"/>
    </row>
    <row r="438" spans="37:39" ht="15.75" customHeight="1" x14ac:dyDescent="0.3">
      <c r="AK438" s="54"/>
      <c r="AL438" s="54"/>
      <c r="AM438" s="54"/>
    </row>
    <row r="439" spans="37:39" ht="15.75" customHeight="1" x14ac:dyDescent="0.3">
      <c r="AK439" s="54"/>
      <c r="AL439" s="54"/>
      <c r="AM439" s="54"/>
    </row>
    <row r="440" spans="37:39" ht="15.75" customHeight="1" x14ac:dyDescent="0.3">
      <c r="AK440" s="54"/>
      <c r="AL440" s="54"/>
      <c r="AM440" s="54"/>
    </row>
    <row r="441" spans="37:39" ht="15.75" customHeight="1" x14ac:dyDescent="0.3">
      <c r="AK441" s="54"/>
      <c r="AL441" s="54"/>
      <c r="AM441" s="54"/>
    </row>
    <row r="442" spans="37:39" ht="15.75" customHeight="1" x14ac:dyDescent="0.3">
      <c r="AK442" s="54"/>
      <c r="AL442" s="54"/>
      <c r="AM442" s="54"/>
    </row>
    <row r="443" spans="37:39" ht="15.75" customHeight="1" x14ac:dyDescent="0.3">
      <c r="AK443" s="54"/>
      <c r="AL443" s="54"/>
      <c r="AM443" s="54"/>
    </row>
    <row r="444" spans="37:39" ht="15.75" customHeight="1" x14ac:dyDescent="0.3">
      <c r="AK444" s="54"/>
      <c r="AL444" s="54"/>
      <c r="AM444" s="54"/>
    </row>
    <row r="445" spans="37:39" ht="15.75" customHeight="1" x14ac:dyDescent="0.3">
      <c r="AK445" s="54"/>
      <c r="AL445" s="54"/>
      <c r="AM445" s="54"/>
    </row>
    <row r="446" spans="37:39" ht="15.75" customHeight="1" x14ac:dyDescent="0.3">
      <c r="AK446" s="54"/>
      <c r="AL446" s="54"/>
      <c r="AM446" s="54"/>
    </row>
    <row r="447" spans="37:39" ht="15.75" customHeight="1" x14ac:dyDescent="0.3">
      <c r="AK447" s="54"/>
      <c r="AL447" s="54"/>
      <c r="AM447" s="54"/>
    </row>
    <row r="448" spans="37:39" ht="15.75" customHeight="1" x14ac:dyDescent="0.3">
      <c r="AK448" s="54"/>
      <c r="AL448" s="54"/>
      <c r="AM448" s="54"/>
    </row>
    <row r="449" spans="37:39" ht="15.75" customHeight="1" x14ac:dyDescent="0.3">
      <c r="AK449" s="54"/>
      <c r="AL449" s="54"/>
      <c r="AM449" s="54"/>
    </row>
    <row r="450" spans="37:39" ht="15.75" customHeight="1" x14ac:dyDescent="0.3">
      <c r="AK450" s="54"/>
      <c r="AL450" s="54"/>
      <c r="AM450" s="54"/>
    </row>
    <row r="451" spans="37:39" ht="15.75" customHeight="1" x14ac:dyDescent="0.3">
      <c r="AK451" s="54"/>
      <c r="AL451" s="54"/>
      <c r="AM451" s="54"/>
    </row>
    <row r="452" spans="37:39" ht="15.75" customHeight="1" x14ac:dyDescent="0.3">
      <c r="AK452" s="54"/>
      <c r="AL452" s="54"/>
      <c r="AM452" s="54"/>
    </row>
    <row r="453" spans="37:39" ht="15.75" customHeight="1" x14ac:dyDescent="0.3">
      <c r="AK453" s="54"/>
      <c r="AL453" s="54"/>
      <c r="AM453" s="54"/>
    </row>
    <row r="454" spans="37:39" ht="15.75" customHeight="1" x14ac:dyDescent="0.3">
      <c r="AK454" s="54"/>
      <c r="AL454" s="54"/>
      <c r="AM454" s="54"/>
    </row>
    <row r="455" spans="37:39" ht="15.75" customHeight="1" x14ac:dyDescent="0.3">
      <c r="AK455" s="54"/>
      <c r="AL455" s="54"/>
      <c r="AM455" s="54"/>
    </row>
    <row r="456" spans="37:39" ht="15.75" customHeight="1" x14ac:dyDescent="0.3">
      <c r="AK456" s="54"/>
      <c r="AL456" s="54"/>
      <c r="AM456" s="54"/>
    </row>
    <row r="457" spans="37:39" ht="15.75" customHeight="1" x14ac:dyDescent="0.3">
      <c r="AK457" s="54"/>
      <c r="AL457" s="54"/>
      <c r="AM457" s="54"/>
    </row>
    <row r="458" spans="37:39" ht="15.75" customHeight="1" x14ac:dyDescent="0.3">
      <c r="AK458" s="54"/>
      <c r="AL458" s="54"/>
      <c r="AM458" s="54"/>
    </row>
    <row r="459" spans="37:39" ht="15.75" customHeight="1" x14ac:dyDescent="0.3">
      <c r="AK459" s="54"/>
      <c r="AL459" s="54"/>
      <c r="AM459" s="54"/>
    </row>
    <row r="460" spans="37:39" ht="15.75" customHeight="1" x14ac:dyDescent="0.3">
      <c r="AK460" s="54"/>
      <c r="AL460" s="54"/>
      <c r="AM460" s="54"/>
    </row>
    <row r="461" spans="37:39" ht="15.75" customHeight="1" x14ac:dyDescent="0.3">
      <c r="AK461" s="54"/>
      <c r="AL461" s="54"/>
      <c r="AM461" s="54"/>
    </row>
    <row r="462" spans="37:39" ht="15.75" customHeight="1" x14ac:dyDescent="0.3">
      <c r="AK462" s="54"/>
      <c r="AL462" s="54"/>
      <c r="AM462" s="54"/>
    </row>
    <row r="463" spans="37:39" ht="15.75" customHeight="1" x14ac:dyDescent="0.3">
      <c r="AK463" s="54"/>
      <c r="AL463" s="54"/>
      <c r="AM463" s="54"/>
    </row>
    <row r="464" spans="37:39" ht="15.75" customHeight="1" x14ac:dyDescent="0.3">
      <c r="AK464" s="54"/>
      <c r="AL464" s="54"/>
      <c r="AM464" s="54"/>
    </row>
    <row r="465" spans="37:39" ht="15.75" customHeight="1" x14ac:dyDescent="0.3">
      <c r="AK465" s="54"/>
      <c r="AL465" s="54"/>
      <c r="AM465" s="54"/>
    </row>
    <row r="466" spans="37:39" ht="15.75" customHeight="1" x14ac:dyDescent="0.3">
      <c r="AK466" s="54"/>
      <c r="AL466" s="54"/>
      <c r="AM466" s="54"/>
    </row>
    <row r="467" spans="37:39" ht="15.75" customHeight="1" x14ac:dyDescent="0.3">
      <c r="AK467" s="54"/>
      <c r="AL467" s="54"/>
      <c r="AM467" s="54"/>
    </row>
    <row r="468" spans="37:39" ht="15.75" customHeight="1" x14ac:dyDescent="0.3">
      <c r="AK468" s="54"/>
      <c r="AL468" s="54"/>
      <c r="AM468" s="54"/>
    </row>
    <row r="469" spans="37:39" ht="15.75" customHeight="1" x14ac:dyDescent="0.3">
      <c r="AK469" s="54"/>
      <c r="AL469" s="54"/>
      <c r="AM469" s="54"/>
    </row>
    <row r="470" spans="37:39" ht="15.75" customHeight="1" x14ac:dyDescent="0.3">
      <c r="AK470" s="54"/>
      <c r="AL470" s="54"/>
      <c r="AM470" s="54"/>
    </row>
    <row r="471" spans="37:39" ht="15.75" customHeight="1" x14ac:dyDescent="0.3">
      <c r="AK471" s="54"/>
      <c r="AL471" s="54"/>
      <c r="AM471" s="54"/>
    </row>
    <row r="472" spans="37:39" ht="15.75" customHeight="1" x14ac:dyDescent="0.3">
      <c r="AK472" s="54"/>
      <c r="AL472" s="54"/>
      <c r="AM472" s="54"/>
    </row>
    <row r="473" spans="37:39" ht="15.75" customHeight="1" x14ac:dyDescent="0.3">
      <c r="AK473" s="54"/>
      <c r="AL473" s="54"/>
      <c r="AM473" s="54"/>
    </row>
    <row r="474" spans="37:39" ht="15.75" customHeight="1" x14ac:dyDescent="0.3">
      <c r="AK474" s="54"/>
      <c r="AL474" s="54"/>
      <c r="AM474" s="54"/>
    </row>
    <row r="475" spans="37:39" ht="15.75" customHeight="1" x14ac:dyDescent="0.3">
      <c r="AK475" s="54"/>
      <c r="AL475" s="54"/>
      <c r="AM475" s="54"/>
    </row>
    <row r="476" spans="37:39" ht="15.75" customHeight="1" x14ac:dyDescent="0.3">
      <c r="AK476" s="54"/>
      <c r="AL476" s="54"/>
      <c r="AM476" s="54"/>
    </row>
    <row r="477" spans="37:39" ht="15.75" customHeight="1" x14ac:dyDescent="0.3">
      <c r="AK477" s="54"/>
      <c r="AL477" s="54"/>
      <c r="AM477" s="54"/>
    </row>
    <row r="478" spans="37:39" ht="15.75" customHeight="1" x14ac:dyDescent="0.3">
      <c r="AK478" s="54"/>
      <c r="AL478" s="54"/>
      <c r="AM478" s="54"/>
    </row>
    <row r="479" spans="37:39" ht="15.75" customHeight="1" x14ac:dyDescent="0.3">
      <c r="AK479" s="54"/>
      <c r="AL479" s="54"/>
      <c r="AM479" s="54"/>
    </row>
    <row r="480" spans="37:39" ht="15.75" customHeight="1" x14ac:dyDescent="0.3">
      <c r="AK480" s="54"/>
      <c r="AL480" s="54"/>
      <c r="AM480" s="54"/>
    </row>
    <row r="481" spans="37:39" ht="15.75" customHeight="1" x14ac:dyDescent="0.3">
      <c r="AK481" s="54"/>
      <c r="AL481" s="54"/>
      <c r="AM481" s="54"/>
    </row>
    <row r="482" spans="37:39" ht="15.75" customHeight="1" x14ac:dyDescent="0.3">
      <c r="AK482" s="54"/>
      <c r="AL482" s="54"/>
      <c r="AM482" s="54"/>
    </row>
    <row r="483" spans="37:39" ht="15.75" customHeight="1" x14ac:dyDescent="0.3">
      <c r="AK483" s="54"/>
      <c r="AL483" s="54"/>
      <c r="AM483" s="54"/>
    </row>
    <row r="484" spans="37:39" ht="15.75" customHeight="1" x14ac:dyDescent="0.3">
      <c r="AK484" s="54"/>
      <c r="AL484" s="54"/>
      <c r="AM484" s="54"/>
    </row>
    <row r="485" spans="37:39" ht="15.75" customHeight="1" x14ac:dyDescent="0.3">
      <c r="AK485" s="54"/>
      <c r="AL485" s="54"/>
      <c r="AM485" s="54"/>
    </row>
    <row r="486" spans="37:39" ht="15.75" customHeight="1" x14ac:dyDescent="0.3">
      <c r="AK486" s="54"/>
      <c r="AL486" s="54"/>
      <c r="AM486" s="54"/>
    </row>
    <row r="487" spans="37:39" ht="15.75" customHeight="1" x14ac:dyDescent="0.3">
      <c r="AK487" s="54"/>
      <c r="AL487" s="54"/>
      <c r="AM487" s="54"/>
    </row>
    <row r="488" spans="37:39" ht="15.75" customHeight="1" x14ac:dyDescent="0.3">
      <c r="AK488" s="54"/>
      <c r="AL488" s="54"/>
      <c r="AM488" s="54"/>
    </row>
    <row r="489" spans="37:39" ht="15.75" customHeight="1" x14ac:dyDescent="0.3">
      <c r="AK489" s="54"/>
      <c r="AL489" s="54"/>
      <c r="AM489" s="54"/>
    </row>
    <row r="490" spans="37:39" ht="15.75" customHeight="1" x14ac:dyDescent="0.3">
      <c r="AK490" s="54"/>
      <c r="AL490" s="54"/>
      <c r="AM490" s="54"/>
    </row>
    <row r="491" spans="37:39" ht="15.75" customHeight="1" x14ac:dyDescent="0.3">
      <c r="AK491" s="54"/>
      <c r="AL491" s="54"/>
      <c r="AM491" s="54"/>
    </row>
    <row r="492" spans="37:39" ht="15.75" customHeight="1" x14ac:dyDescent="0.3">
      <c r="AK492" s="54"/>
      <c r="AL492" s="54"/>
      <c r="AM492" s="54"/>
    </row>
    <row r="493" spans="37:39" ht="15.75" customHeight="1" x14ac:dyDescent="0.3">
      <c r="AK493" s="54"/>
      <c r="AL493" s="54"/>
      <c r="AM493" s="54"/>
    </row>
    <row r="494" spans="37:39" ht="15.75" customHeight="1" x14ac:dyDescent="0.3">
      <c r="AK494" s="54"/>
      <c r="AL494" s="54"/>
      <c r="AM494" s="54"/>
    </row>
    <row r="495" spans="37:39" ht="15.75" customHeight="1" x14ac:dyDescent="0.3">
      <c r="AK495" s="54"/>
      <c r="AL495" s="54"/>
      <c r="AM495" s="54"/>
    </row>
    <row r="496" spans="37:39" ht="15.75" customHeight="1" x14ac:dyDescent="0.3">
      <c r="AK496" s="54"/>
      <c r="AL496" s="54"/>
      <c r="AM496" s="54"/>
    </row>
    <row r="497" spans="37:39" ht="15.75" customHeight="1" x14ac:dyDescent="0.3">
      <c r="AK497" s="54"/>
      <c r="AL497" s="54"/>
      <c r="AM497" s="54"/>
    </row>
    <row r="498" spans="37:39" ht="15.75" customHeight="1" x14ac:dyDescent="0.3">
      <c r="AK498" s="54"/>
      <c r="AL498" s="54"/>
      <c r="AM498" s="54"/>
    </row>
    <row r="499" spans="37:39" ht="15.75" customHeight="1" x14ac:dyDescent="0.3">
      <c r="AK499" s="54"/>
      <c r="AL499" s="54"/>
      <c r="AM499" s="54"/>
    </row>
    <row r="500" spans="37:39" ht="15.75" customHeight="1" x14ac:dyDescent="0.3">
      <c r="AK500" s="54"/>
      <c r="AL500" s="54"/>
      <c r="AM500" s="54"/>
    </row>
    <row r="501" spans="37:39" ht="15.75" customHeight="1" x14ac:dyDescent="0.3">
      <c r="AK501" s="54"/>
      <c r="AL501" s="54"/>
      <c r="AM501" s="54"/>
    </row>
    <row r="502" spans="37:39" ht="15.75" customHeight="1" x14ac:dyDescent="0.3">
      <c r="AK502" s="54"/>
      <c r="AL502" s="54"/>
      <c r="AM502" s="54"/>
    </row>
    <row r="503" spans="37:39" ht="15.75" customHeight="1" x14ac:dyDescent="0.3">
      <c r="AK503" s="54"/>
      <c r="AL503" s="54"/>
      <c r="AM503" s="54"/>
    </row>
    <row r="504" spans="37:39" ht="15.75" customHeight="1" x14ac:dyDescent="0.3">
      <c r="AK504" s="54"/>
      <c r="AL504" s="54"/>
      <c r="AM504" s="54"/>
    </row>
    <row r="505" spans="37:39" ht="15.75" customHeight="1" x14ac:dyDescent="0.3">
      <c r="AK505" s="54"/>
      <c r="AL505" s="54"/>
      <c r="AM505" s="54"/>
    </row>
    <row r="506" spans="37:39" ht="15.75" customHeight="1" x14ac:dyDescent="0.3">
      <c r="AK506" s="54"/>
      <c r="AL506" s="54"/>
      <c r="AM506" s="54"/>
    </row>
    <row r="507" spans="37:39" ht="15.75" customHeight="1" x14ac:dyDescent="0.3">
      <c r="AK507" s="54"/>
      <c r="AL507" s="54"/>
      <c r="AM507" s="54"/>
    </row>
    <row r="508" spans="37:39" ht="15.75" customHeight="1" x14ac:dyDescent="0.3">
      <c r="AK508" s="54"/>
      <c r="AL508" s="54"/>
      <c r="AM508" s="54"/>
    </row>
    <row r="509" spans="37:39" ht="15.75" customHeight="1" x14ac:dyDescent="0.3">
      <c r="AK509" s="54"/>
      <c r="AL509" s="54"/>
      <c r="AM509" s="54"/>
    </row>
    <row r="510" spans="37:39" ht="15.75" customHeight="1" x14ac:dyDescent="0.3">
      <c r="AK510" s="54"/>
      <c r="AL510" s="54"/>
      <c r="AM510" s="54"/>
    </row>
    <row r="511" spans="37:39" ht="15.75" customHeight="1" x14ac:dyDescent="0.3">
      <c r="AK511" s="54"/>
      <c r="AL511" s="54"/>
      <c r="AM511" s="54"/>
    </row>
    <row r="512" spans="37:39" ht="15.75" customHeight="1" x14ac:dyDescent="0.3">
      <c r="AK512" s="54"/>
      <c r="AL512" s="54"/>
      <c r="AM512" s="54"/>
    </row>
    <row r="513" spans="37:39" ht="15.75" customHeight="1" x14ac:dyDescent="0.3">
      <c r="AK513" s="54"/>
      <c r="AL513" s="54"/>
      <c r="AM513" s="54"/>
    </row>
    <row r="514" spans="37:39" ht="15.75" customHeight="1" x14ac:dyDescent="0.3">
      <c r="AK514" s="54"/>
      <c r="AL514" s="54"/>
      <c r="AM514" s="54"/>
    </row>
    <row r="515" spans="37:39" ht="15.75" customHeight="1" x14ac:dyDescent="0.3">
      <c r="AK515" s="54"/>
      <c r="AL515" s="54"/>
      <c r="AM515" s="54"/>
    </row>
    <row r="516" spans="37:39" ht="15.75" customHeight="1" x14ac:dyDescent="0.3">
      <c r="AK516" s="54"/>
      <c r="AL516" s="54"/>
      <c r="AM516" s="54"/>
    </row>
    <row r="517" spans="37:39" ht="15.75" customHeight="1" x14ac:dyDescent="0.3">
      <c r="AK517" s="54"/>
      <c r="AL517" s="54"/>
      <c r="AM517" s="54"/>
    </row>
    <row r="518" spans="37:39" ht="15.75" customHeight="1" x14ac:dyDescent="0.3">
      <c r="AK518" s="54"/>
      <c r="AL518" s="54"/>
      <c r="AM518" s="54"/>
    </row>
    <row r="519" spans="37:39" ht="15.75" customHeight="1" x14ac:dyDescent="0.3">
      <c r="AK519" s="54"/>
      <c r="AL519" s="54"/>
      <c r="AM519" s="54"/>
    </row>
    <row r="520" spans="37:39" ht="15.75" customHeight="1" x14ac:dyDescent="0.3">
      <c r="AK520" s="54"/>
      <c r="AL520" s="54"/>
      <c r="AM520" s="54"/>
    </row>
    <row r="521" spans="37:39" ht="15.75" customHeight="1" x14ac:dyDescent="0.3">
      <c r="AK521" s="54"/>
      <c r="AL521" s="54"/>
      <c r="AM521" s="54"/>
    </row>
    <row r="522" spans="37:39" ht="15.75" customHeight="1" x14ac:dyDescent="0.3">
      <c r="AK522" s="54"/>
      <c r="AL522" s="54"/>
      <c r="AM522" s="54"/>
    </row>
    <row r="523" spans="37:39" ht="15.75" customHeight="1" x14ac:dyDescent="0.3">
      <c r="AK523" s="54"/>
      <c r="AL523" s="54"/>
      <c r="AM523" s="54"/>
    </row>
    <row r="524" spans="37:39" ht="15.75" customHeight="1" x14ac:dyDescent="0.3">
      <c r="AK524" s="54"/>
      <c r="AL524" s="54"/>
      <c r="AM524" s="54"/>
    </row>
    <row r="525" spans="37:39" ht="15.75" customHeight="1" x14ac:dyDescent="0.3">
      <c r="AK525" s="54"/>
      <c r="AL525" s="54"/>
      <c r="AM525" s="54"/>
    </row>
    <row r="526" spans="37:39" ht="15.75" customHeight="1" x14ac:dyDescent="0.3">
      <c r="AK526" s="54"/>
      <c r="AL526" s="54"/>
      <c r="AM526" s="54"/>
    </row>
    <row r="527" spans="37:39" ht="15.75" customHeight="1" x14ac:dyDescent="0.3">
      <c r="AK527" s="54"/>
      <c r="AL527" s="54"/>
      <c r="AM527" s="54"/>
    </row>
    <row r="528" spans="37:39" ht="15.75" customHeight="1" x14ac:dyDescent="0.3">
      <c r="AK528" s="54"/>
      <c r="AL528" s="54"/>
      <c r="AM528" s="54"/>
    </row>
    <row r="529" spans="37:39" ht="15.75" customHeight="1" x14ac:dyDescent="0.3">
      <c r="AK529" s="54"/>
      <c r="AL529" s="54"/>
      <c r="AM529" s="54"/>
    </row>
    <row r="530" spans="37:39" ht="15.75" customHeight="1" x14ac:dyDescent="0.3">
      <c r="AK530" s="54"/>
      <c r="AL530" s="54"/>
      <c r="AM530" s="54"/>
    </row>
    <row r="531" spans="37:39" ht="15.75" customHeight="1" x14ac:dyDescent="0.3">
      <c r="AK531" s="54"/>
      <c r="AL531" s="54"/>
      <c r="AM531" s="54"/>
    </row>
    <row r="532" spans="37:39" ht="15.75" customHeight="1" x14ac:dyDescent="0.3">
      <c r="AK532" s="54"/>
      <c r="AL532" s="54"/>
      <c r="AM532" s="54"/>
    </row>
    <row r="533" spans="37:39" ht="15.75" customHeight="1" x14ac:dyDescent="0.3">
      <c r="AK533" s="54"/>
      <c r="AL533" s="54"/>
      <c r="AM533" s="54"/>
    </row>
    <row r="534" spans="37:39" ht="15.75" customHeight="1" x14ac:dyDescent="0.3">
      <c r="AK534" s="54"/>
      <c r="AL534" s="54"/>
      <c r="AM534" s="54"/>
    </row>
    <row r="535" spans="37:39" ht="15.75" customHeight="1" x14ac:dyDescent="0.3">
      <c r="AK535" s="54"/>
      <c r="AL535" s="54"/>
      <c r="AM535" s="54"/>
    </row>
    <row r="536" spans="37:39" ht="15.75" customHeight="1" x14ac:dyDescent="0.3">
      <c r="AK536" s="54"/>
      <c r="AL536" s="54"/>
      <c r="AM536" s="54"/>
    </row>
    <row r="537" spans="37:39" ht="15.75" customHeight="1" x14ac:dyDescent="0.3">
      <c r="AK537" s="54"/>
      <c r="AL537" s="54"/>
      <c r="AM537" s="54"/>
    </row>
    <row r="538" spans="37:39" ht="15.75" customHeight="1" x14ac:dyDescent="0.3">
      <c r="AK538" s="54"/>
      <c r="AL538" s="54"/>
      <c r="AM538" s="54"/>
    </row>
    <row r="539" spans="37:39" ht="15.75" customHeight="1" x14ac:dyDescent="0.3">
      <c r="AK539" s="54"/>
      <c r="AL539" s="54"/>
      <c r="AM539" s="54"/>
    </row>
    <row r="540" spans="37:39" ht="15.75" customHeight="1" x14ac:dyDescent="0.3">
      <c r="AK540" s="54"/>
      <c r="AL540" s="54"/>
      <c r="AM540" s="54"/>
    </row>
    <row r="541" spans="37:39" ht="15.75" customHeight="1" x14ac:dyDescent="0.3">
      <c r="AK541" s="54"/>
      <c r="AL541" s="54"/>
      <c r="AM541" s="54"/>
    </row>
    <row r="542" spans="37:39" ht="15.75" customHeight="1" x14ac:dyDescent="0.3">
      <c r="AK542" s="54"/>
      <c r="AL542" s="54"/>
      <c r="AM542" s="54"/>
    </row>
    <row r="543" spans="37:39" ht="15.75" customHeight="1" x14ac:dyDescent="0.3">
      <c r="AK543" s="54"/>
      <c r="AL543" s="54"/>
      <c r="AM543" s="54"/>
    </row>
    <row r="544" spans="37:39" ht="15.75" customHeight="1" x14ac:dyDescent="0.3">
      <c r="AK544" s="54"/>
      <c r="AL544" s="54"/>
      <c r="AM544" s="54"/>
    </row>
    <row r="545" spans="37:39" ht="15.75" customHeight="1" x14ac:dyDescent="0.3">
      <c r="AK545" s="54"/>
      <c r="AL545" s="54"/>
      <c r="AM545" s="54"/>
    </row>
    <row r="546" spans="37:39" ht="15.75" customHeight="1" x14ac:dyDescent="0.3">
      <c r="AK546" s="54"/>
      <c r="AL546" s="54"/>
      <c r="AM546" s="54"/>
    </row>
    <row r="547" spans="37:39" ht="15.75" customHeight="1" x14ac:dyDescent="0.3">
      <c r="AK547" s="54"/>
      <c r="AL547" s="54"/>
      <c r="AM547" s="54"/>
    </row>
    <row r="548" spans="37:39" ht="15.75" customHeight="1" x14ac:dyDescent="0.3">
      <c r="AK548" s="54"/>
      <c r="AL548" s="54"/>
      <c r="AM548" s="54"/>
    </row>
    <row r="549" spans="37:39" ht="15.75" customHeight="1" x14ac:dyDescent="0.3">
      <c r="AK549" s="54"/>
      <c r="AL549" s="54"/>
      <c r="AM549" s="54"/>
    </row>
    <row r="550" spans="37:39" ht="15.75" customHeight="1" x14ac:dyDescent="0.3">
      <c r="AK550" s="54"/>
      <c r="AL550" s="54"/>
      <c r="AM550" s="54"/>
    </row>
    <row r="551" spans="37:39" ht="15.75" customHeight="1" x14ac:dyDescent="0.3">
      <c r="AK551" s="54"/>
      <c r="AL551" s="54"/>
      <c r="AM551" s="54"/>
    </row>
    <row r="552" spans="37:39" ht="15.75" customHeight="1" x14ac:dyDescent="0.3">
      <c r="AK552" s="54"/>
      <c r="AL552" s="54"/>
      <c r="AM552" s="54"/>
    </row>
    <row r="553" spans="37:39" ht="15.75" customHeight="1" x14ac:dyDescent="0.3">
      <c r="AK553" s="54"/>
      <c r="AL553" s="54"/>
      <c r="AM553" s="54"/>
    </row>
    <row r="554" spans="37:39" ht="15.75" customHeight="1" x14ac:dyDescent="0.3">
      <c r="AK554" s="54"/>
      <c r="AL554" s="54"/>
      <c r="AM554" s="54"/>
    </row>
    <row r="555" spans="37:39" ht="15.75" customHeight="1" x14ac:dyDescent="0.3">
      <c r="AK555" s="54"/>
      <c r="AL555" s="54"/>
      <c r="AM555" s="54"/>
    </row>
    <row r="556" spans="37:39" ht="15.75" customHeight="1" x14ac:dyDescent="0.3">
      <c r="AK556" s="54"/>
      <c r="AL556" s="54"/>
      <c r="AM556" s="54"/>
    </row>
    <row r="557" spans="37:39" ht="15.75" customHeight="1" x14ac:dyDescent="0.3">
      <c r="AK557" s="54"/>
      <c r="AL557" s="54"/>
      <c r="AM557" s="54"/>
    </row>
    <row r="558" spans="37:39" ht="15.75" customHeight="1" x14ac:dyDescent="0.3">
      <c r="AK558" s="54"/>
      <c r="AL558" s="54"/>
      <c r="AM558" s="54"/>
    </row>
    <row r="559" spans="37:39" ht="15.75" customHeight="1" x14ac:dyDescent="0.3">
      <c r="AK559" s="54"/>
      <c r="AL559" s="54"/>
      <c r="AM559" s="54"/>
    </row>
    <row r="560" spans="37:39" ht="15.75" customHeight="1" x14ac:dyDescent="0.3">
      <c r="AK560" s="54"/>
      <c r="AL560" s="54"/>
      <c r="AM560" s="54"/>
    </row>
    <row r="561" spans="37:39" ht="15.75" customHeight="1" x14ac:dyDescent="0.3">
      <c r="AK561" s="54"/>
      <c r="AL561" s="54"/>
      <c r="AM561" s="54"/>
    </row>
    <row r="562" spans="37:39" ht="15.75" customHeight="1" x14ac:dyDescent="0.3">
      <c r="AK562" s="54"/>
      <c r="AL562" s="54"/>
      <c r="AM562" s="54"/>
    </row>
    <row r="563" spans="37:39" ht="15.75" customHeight="1" x14ac:dyDescent="0.3">
      <c r="AK563" s="54"/>
      <c r="AL563" s="54"/>
      <c r="AM563" s="54"/>
    </row>
    <row r="564" spans="37:39" ht="15.75" customHeight="1" x14ac:dyDescent="0.3">
      <c r="AK564" s="54"/>
      <c r="AL564" s="54"/>
      <c r="AM564" s="54"/>
    </row>
    <row r="565" spans="37:39" ht="15.75" customHeight="1" x14ac:dyDescent="0.3">
      <c r="AK565" s="54"/>
      <c r="AL565" s="54"/>
      <c r="AM565" s="54"/>
    </row>
    <row r="566" spans="37:39" ht="15.75" customHeight="1" x14ac:dyDescent="0.3">
      <c r="AK566" s="54"/>
      <c r="AL566" s="54"/>
      <c r="AM566" s="54"/>
    </row>
    <row r="567" spans="37:39" ht="15.75" customHeight="1" x14ac:dyDescent="0.3">
      <c r="AK567" s="54"/>
      <c r="AL567" s="54"/>
      <c r="AM567" s="54"/>
    </row>
    <row r="568" spans="37:39" ht="15.75" customHeight="1" x14ac:dyDescent="0.3">
      <c r="AK568" s="54"/>
      <c r="AL568" s="54"/>
      <c r="AM568" s="54"/>
    </row>
    <row r="569" spans="37:39" ht="15.75" customHeight="1" x14ac:dyDescent="0.3">
      <c r="AK569" s="54"/>
      <c r="AL569" s="54"/>
      <c r="AM569" s="54"/>
    </row>
    <row r="570" spans="37:39" ht="15.75" customHeight="1" x14ac:dyDescent="0.3">
      <c r="AK570" s="54"/>
      <c r="AL570" s="54"/>
      <c r="AM570" s="54"/>
    </row>
    <row r="571" spans="37:39" ht="15.75" customHeight="1" x14ac:dyDescent="0.3">
      <c r="AK571" s="54"/>
      <c r="AL571" s="54"/>
      <c r="AM571" s="54"/>
    </row>
    <row r="572" spans="37:39" ht="15.75" customHeight="1" x14ac:dyDescent="0.3">
      <c r="AK572" s="54"/>
      <c r="AL572" s="54"/>
      <c r="AM572" s="54"/>
    </row>
    <row r="573" spans="37:39" ht="15.75" customHeight="1" x14ac:dyDescent="0.3">
      <c r="AK573" s="54"/>
      <c r="AL573" s="54"/>
      <c r="AM573" s="54"/>
    </row>
    <row r="574" spans="37:39" ht="15.75" customHeight="1" x14ac:dyDescent="0.3">
      <c r="AK574" s="54"/>
      <c r="AL574" s="54"/>
      <c r="AM574" s="54"/>
    </row>
    <row r="575" spans="37:39" ht="15.75" customHeight="1" x14ac:dyDescent="0.3">
      <c r="AK575" s="54"/>
      <c r="AL575" s="54"/>
      <c r="AM575" s="54"/>
    </row>
    <row r="576" spans="37:39" ht="15.75" customHeight="1" x14ac:dyDescent="0.3">
      <c r="AK576" s="54"/>
      <c r="AL576" s="54"/>
      <c r="AM576" s="54"/>
    </row>
    <row r="577" spans="37:39" ht="15.75" customHeight="1" x14ac:dyDescent="0.3">
      <c r="AK577" s="54"/>
      <c r="AL577" s="54"/>
      <c r="AM577" s="54"/>
    </row>
    <row r="578" spans="37:39" ht="15.75" customHeight="1" x14ac:dyDescent="0.3">
      <c r="AK578" s="54"/>
      <c r="AL578" s="54"/>
      <c r="AM578" s="54"/>
    </row>
    <row r="579" spans="37:39" ht="15.75" customHeight="1" x14ac:dyDescent="0.3">
      <c r="AK579" s="54"/>
      <c r="AL579" s="54"/>
      <c r="AM579" s="54"/>
    </row>
    <row r="580" spans="37:39" ht="15.75" customHeight="1" x14ac:dyDescent="0.3">
      <c r="AK580" s="54"/>
      <c r="AL580" s="54"/>
      <c r="AM580" s="54"/>
    </row>
    <row r="581" spans="37:39" ht="15.75" customHeight="1" x14ac:dyDescent="0.3">
      <c r="AK581" s="54"/>
      <c r="AL581" s="54"/>
      <c r="AM581" s="54"/>
    </row>
    <row r="582" spans="37:39" ht="15.75" customHeight="1" x14ac:dyDescent="0.3">
      <c r="AK582" s="54"/>
      <c r="AL582" s="54"/>
      <c r="AM582" s="54"/>
    </row>
    <row r="583" spans="37:39" ht="15.75" customHeight="1" x14ac:dyDescent="0.3">
      <c r="AK583" s="54"/>
      <c r="AL583" s="54"/>
      <c r="AM583" s="54"/>
    </row>
    <row r="584" spans="37:39" ht="15.75" customHeight="1" x14ac:dyDescent="0.3">
      <c r="AK584" s="54"/>
      <c r="AL584" s="54"/>
      <c r="AM584" s="54"/>
    </row>
    <row r="585" spans="37:39" ht="15.75" customHeight="1" x14ac:dyDescent="0.3">
      <c r="AK585" s="54"/>
      <c r="AL585" s="54"/>
      <c r="AM585" s="54"/>
    </row>
    <row r="586" spans="37:39" ht="15.75" customHeight="1" x14ac:dyDescent="0.3">
      <c r="AK586" s="54"/>
      <c r="AL586" s="54"/>
      <c r="AM586" s="54"/>
    </row>
    <row r="587" spans="37:39" ht="15.75" customHeight="1" x14ac:dyDescent="0.3">
      <c r="AK587" s="54"/>
      <c r="AL587" s="54"/>
      <c r="AM587" s="54"/>
    </row>
    <row r="588" spans="37:39" ht="15.75" customHeight="1" x14ac:dyDescent="0.3">
      <c r="AK588" s="54"/>
      <c r="AL588" s="54"/>
      <c r="AM588" s="54"/>
    </row>
    <row r="589" spans="37:39" ht="15.75" customHeight="1" x14ac:dyDescent="0.3">
      <c r="AK589" s="54"/>
      <c r="AL589" s="54"/>
      <c r="AM589" s="54"/>
    </row>
    <row r="590" spans="37:39" ht="15.75" customHeight="1" x14ac:dyDescent="0.3">
      <c r="AK590" s="54"/>
      <c r="AL590" s="54"/>
      <c r="AM590" s="54"/>
    </row>
    <row r="591" spans="37:39" ht="15.75" customHeight="1" x14ac:dyDescent="0.3">
      <c r="AK591" s="54"/>
      <c r="AL591" s="54"/>
      <c r="AM591" s="54"/>
    </row>
    <row r="592" spans="37:39" ht="15.75" customHeight="1" x14ac:dyDescent="0.3">
      <c r="AK592" s="54"/>
      <c r="AL592" s="54"/>
      <c r="AM592" s="54"/>
    </row>
    <row r="593" spans="37:39" ht="15.75" customHeight="1" x14ac:dyDescent="0.3">
      <c r="AK593" s="54"/>
      <c r="AL593" s="54"/>
      <c r="AM593" s="54"/>
    </row>
    <row r="594" spans="37:39" ht="15.75" customHeight="1" x14ac:dyDescent="0.3">
      <c r="AK594" s="54"/>
      <c r="AL594" s="54"/>
      <c r="AM594" s="54"/>
    </row>
    <row r="595" spans="37:39" ht="15.75" customHeight="1" x14ac:dyDescent="0.3">
      <c r="AK595" s="54"/>
      <c r="AL595" s="54"/>
      <c r="AM595" s="54"/>
    </row>
    <row r="596" spans="37:39" ht="15.75" customHeight="1" x14ac:dyDescent="0.3">
      <c r="AK596" s="54"/>
      <c r="AL596" s="54"/>
      <c r="AM596" s="54"/>
    </row>
    <row r="597" spans="37:39" ht="15.75" customHeight="1" x14ac:dyDescent="0.3">
      <c r="AK597" s="54"/>
      <c r="AL597" s="54"/>
      <c r="AM597" s="54"/>
    </row>
    <row r="598" spans="37:39" ht="15.75" customHeight="1" x14ac:dyDescent="0.3">
      <c r="AK598" s="54"/>
      <c r="AL598" s="54"/>
      <c r="AM598" s="54"/>
    </row>
    <row r="599" spans="37:39" ht="15.75" customHeight="1" x14ac:dyDescent="0.3">
      <c r="AK599" s="54"/>
      <c r="AL599" s="54"/>
      <c r="AM599" s="54"/>
    </row>
    <row r="600" spans="37:39" ht="15.75" customHeight="1" x14ac:dyDescent="0.3">
      <c r="AK600" s="54"/>
      <c r="AL600" s="54"/>
      <c r="AM600" s="54"/>
    </row>
    <row r="601" spans="37:39" ht="15.75" customHeight="1" x14ac:dyDescent="0.3">
      <c r="AK601" s="54"/>
      <c r="AL601" s="54"/>
      <c r="AM601" s="54"/>
    </row>
    <row r="602" spans="37:39" ht="15.75" customHeight="1" x14ac:dyDescent="0.3">
      <c r="AK602" s="54"/>
      <c r="AL602" s="54"/>
      <c r="AM602" s="54"/>
    </row>
    <row r="603" spans="37:39" ht="15.75" customHeight="1" x14ac:dyDescent="0.3">
      <c r="AK603" s="54"/>
      <c r="AL603" s="54"/>
      <c r="AM603" s="54"/>
    </row>
    <row r="604" spans="37:39" ht="15.75" customHeight="1" x14ac:dyDescent="0.3">
      <c r="AK604" s="54"/>
      <c r="AL604" s="54"/>
      <c r="AM604" s="54"/>
    </row>
    <row r="605" spans="37:39" ht="15.75" customHeight="1" x14ac:dyDescent="0.3">
      <c r="AK605" s="54"/>
      <c r="AL605" s="54"/>
      <c r="AM605" s="54"/>
    </row>
    <row r="606" spans="37:39" ht="15.75" customHeight="1" x14ac:dyDescent="0.3">
      <c r="AK606" s="54"/>
      <c r="AL606" s="54"/>
      <c r="AM606" s="54"/>
    </row>
    <row r="607" spans="37:39" ht="15.75" customHeight="1" x14ac:dyDescent="0.3">
      <c r="AK607" s="54"/>
      <c r="AL607" s="54"/>
      <c r="AM607" s="54"/>
    </row>
    <row r="608" spans="37:39" ht="15.75" customHeight="1" x14ac:dyDescent="0.3">
      <c r="AK608" s="54"/>
      <c r="AL608" s="54"/>
      <c r="AM608" s="54"/>
    </row>
    <row r="609" spans="37:39" ht="15.75" customHeight="1" x14ac:dyDescent="0.3">
      <c r="AK609" s="54"/>
      <c r="AL609" s="54"/>
      <c r="AM609" s="54"/>
    </row>
    <row r="610" spans="37:39" ht="15.75" customHeight="1" x14ac:dyDescent="0.3">
      <c r="AK610" s="54"/>
      <c r="AL610" s="54"/>
      <c r="AM610" s="54"/>
    </row>
    <row r="611" spans="37:39" ht="15.75" customHeight="1" x14ac:dyDescent="0.3">
      <c r="AK611" s="54"/>
      <c r="AL611" s="54"/>
      <c r="AM611" s="54"/>
    </row>
    <row r="612" spans="37:39" ht="15.75" customHeight="1" x14ac:dyDescent="0.3">
      <c r="AK612" s="54"/>
      <c r="AL612" s="54"/>
      <c r="AM612" s="54"/>
    </row>
    <row r="613" spans="37:39" ht="15.75" customHeight="1" x14ac:dyDescent="0.3">
      <c r="AK613" s="54"/>
      <c r="AL613" s="54"/>
      <c r="AM613" s="54"/>
    </row>
    <row r="614" spans="37:39" ht="15.75" customHeight="1" x14ac:dyDescent="0.3">
      <c r="AK614" s="54"/>
      <c r="AL614" s="54"/>
      <c r="AM614" s="54"/>
    </row>
    <row r="615" spans="37:39" ht="15.75" customHeight="1" x14ac:dyDescent="0.3">
      <c r="AK615" s="54"/>
      <c r="AL615" s="54"/>
      <c r="AM615" s="54"/>
    </row>
    <row r="616" spans="37:39" ht="15.75" customHeight="1" x14ac:dyDescent="0.3">
      <c r="AK616" s="54"/>
      <c r="AL616" s="54"/>
      <c r="AM616" s="54"/>
    </row>
    <row r="617" spans="37:39" ht="15.75" customHeight="1" x14ac:dyDescent="0.3">
      <c r="AK617" s="54"/>
      <c r="AL617" s="54"/>
      <c r="AM617" s="54"/>
    </row>
    <row r="618" spans="37:39" ht="15.75" customHeight="1" x14ac:dyDescent="0.3">
      <c r="AK618" s="54"/>
      <c r="AL618" s="54"/>
      <c r="AM618" s="54"/>
    </row>
    <row r="619" spans="37:39" ht="15.75" customHeight="1" x14ac:dyDescent="0.3">
      <c r="AK619" s="54"/>
      <c r="AL619" s="54"/>
      <c r="AM619" s="54"/>
    </row>
    <row r="620" spans="37:39" ht="15.75" customHeight="1" x14ac:dyDescent="0.3">
      <c r="AK620" s="54"/>
      <c r="AL620" s="54"/>
      <c r="AM620" s="54"/>
    </row>
    <row r="621" spans="37:39" ht="15.75" customHeight="1" x14ac:dyDescent="0.3">
      <c r="AK621" s="54"/>
      <c r="AL621" s="54"/>
      <c r="AM621" s="54"/>
    </row>
    <row r="622" spans="37:39" ht="15.75" customHeight="1" x14ac:dyDescent="0.3">
      <c r="AK622" s="54"/>
      <c r="AL622" s="54"/>
      <c r="AM622" s="54"/>
    </row>
    <row r="623" spans="37:39" ht="15.75" customHeight="1" x14ac:dyDescent="0.3">
      <c r="AK623" s="54"/>
      <c r="AL623" s="54"/>
      <c r="AM623" s="54"/>
    </row>
    <row r="624" spans="37:39" ht="15.75" customHeight="1" x14ac:dyDescent="0.3">
      <c r="AK624" s="54"/>
      <c r="AL624" s="54"/>
      <c r="AM624" s="54"/>
    </row>
    <row r="625" spans="37:39" ht="15.75" customHeight="1" x14ac:dyDescent="0.3">
      <c r="AK625" s="54"/>
      <c r="AL625" s="54"/>
      <c r="AM625" s="54"/>
    </row>
    <row r="626" spans="37:39" ht="15.75" customHeight="1" x14ac:dyDescent="0.3">
      <c r="AK626" s="54"/>
      <c r="AL626" s="54"/>
      <c r="AM626" s="54"/>
    </row>
    <row r="627" spans="37:39" ht="15.75" customHeight="1" x14ac:dyDescent="0.3">
      <c r="AK627" s="54"/>
      <c r="AL627" s="54"/>
      <c r="AM627" s="54"/>
    </row>
    <row r="628" spans="37:39" ht="15.75" customHeight="1" x14ac:dyDescent="0.3">
      <c r="AK628" s="54"/>
      <c r="AL628" s="54"/>
      <c r="AM628" s="54"/>
    </row>
    <row r="629" spans="37:39" ht="15.75" customHeight="1" x14ac:dyDescent="0.3">
      <c r="AK629" s="54"/>
      <c r="AL629" s="54"/>
      <c r="AM629" s="54"/>
    </row>
    <row r="630" spans="37:39" ht="15.75" customHeight="1" x14ac:dyDescent="0.3">
      <c r="AK630" s="54"/>
      <c r="AL630" s="54"/>
      <c r="AM630" s="54"/>
    </row>
    <row r="631" spans="37:39" ht="15.75" customHeight="1" x14ac:dyDescent="0.3">
      <c r="AK631" s="54"/>
      <c r="AL631" s="54"/>
      <c r="AM631" s="54"/>
    </row>
    <row r="632" spans="37:39" ht="15.75" customHeight="1" x14ac:dyDescent="0.3">
      <c r="AK632" s="54"/>
      <c r="AL632" s="54"/>
      <c r="AM632" s="54"/>
    </row>
    <row r="633" spans="37:39" ht="15.75" customHeight="1" x14ac:dyDescent="0.3">
      <c r="AK633" s="54"/>
      <c r="AL633" s="54"/>
      <c r="AM633" s="54"/>
    </row>
    <row r="634" spans="37:39" ht="15.75" customHeight="1" x14ac:dyDescent="0.3">
      <c r="AK634" s="54"/>
      <c r="AL634" s="54"/>
      <c r="AM634" s="54"/>
    </row>
    <row r="635" spans="37:39" ht="15.75" customHeight="1" x14ac:dyDescent="0.3">
      <c r="AK635" s="54"/>
      <c r="AL635" s="54"/>
      <c r="AM635" s="54"/>
    </row>
    <row r="636" spans="37:39" ht="15.75" customHeight="1" x14ac:dyDescent="0.3">
      <c r="AK636" s="54"/>
      <c r="AL636" s="54"/>
      <c r="AM636" s="54"/>
    </row>
    <row r="637" spans="37:39" ht="15.75" customHeight="1" x14ac:dyDescent="0.3">
      <c r="AK637" s="54"/>
      <c r="AL637" s="54"/>
      <c r="AM637" s="54"/>
    </row>
    <row r="638" spans="37:39" ht="15.75" customHeight="1" x14ac:dyDescent="0.3">
      <c r="AK638" s="54"/>
      <c r="AL638" s="54"/>
      <c r="AM638" s="54"/>
    </row>
    <row r="639" spans="37:39" ht="15.75" customHeight="1" x14ac:dyDescent="0.3">
      <c r="AK639" s="54"/>
      <c r="AL639" s="54"/>
      <c r="AM639" s="54"/>
    </row>
    <row r="640" spans="37:39" ht="15.75" customHeight="1" x14ac:dyDescent="0.3">
      <c r="AK640" s="54"/>
      <c r="AL640" s="54"/>
      <c r="AM640" s="54"/>
    </row>
    <row r="641" spans="37:39" ht="15.75" customHeight="1" x14ac:dyDescent="0.3">
      <c r="AK641" s="54"/>
      <c r="AL641" s="54"/>
      <c r="AM641" s="54"/>
    </row>
    <row r="642" spans="37:39" ht="15.75" customHeight="1" x14ac:dyDescent="0.3">
      <c r="AK642" s="54"/>
      <c r="AL642" s="54"/>
      <c r="AM642" s="54"/>
    </row>
    <row r="643" spans="37:39" ht="15.75" customHeight="1" x14ac:dyDescent="0.3">
      <c r="AK643" s="54"/>
      <c r="AL643" s="54"/>
      <c r="AM643" s="54"/>
    </row>
    <row r="644" spans="37:39" ht="15.75" customHeight="1" x14ac:dyDescent="0.3">
      <c r="AK644" s="54"/>
      <c r="AL644" s="54"/>
      <c r="AM644" s="54"/>
    </row>
    <row r="645" spans="37:39" ht="15.75" customHeight="1" x14ac:dyDescent="0.3">
      <c r="AK645" s="54"/>
      <c r="AL645" s="54"/>
      <c r="AM645" s="54"/>
    </row>
    <row r="646" spans="37:39" ht="15.75" customHeight="1" x14ac:dyDescent="0.3">
      <c r="AK646" s="54"/>
      <c r="AL646" s="54"/>
      <c r="AM646" s="54"/>
    </row>
    <row r="647" spans="37:39" ht="15.75" customHeight="1" x14ac:dyDescent="0.3">
      <c r="AK647" s="54"/>
      <c r="AL647" s="54"/>
      <c r="AM647" s="54"/>
    </row>
    <row r="648" spans="37:39" ht="15.75" customHeight="1" x14ac:dyDescent="0.3">
      <c r="AK648" s="54"/>
      <c r="AL648" s="54"/>
      <c r="AM648" s="54"/>
    </row>
    <row r="649" spans="37:39" ht="15.75" customHeight="1" x14ac:dyDescent="0.3">
      <c r="AK649" s="54"/>
      <c r="AL649" s="54"/>
      <c r="AM649" s="54"/>
    </row>
    <row r="650" spans="37:39" ht="15.75" customHeight="1" x14ac:dyDescent="0.3">
      <c r="AK650" s="54"/>
      <c r="AL650" s="54"/>
      <c r="AM650" s="54"/>
    </row>
    <row r="651" spans="37:39" ht="15.75" customHeight="1" x14ac:dyDescent="0.3">
      <c r="AK651" s="54"/>
      <c r="AL651" s="54"/>
      <c r="AM651" s="54"/>
    </row>
    <row r="652" spans="37:39" ht="15.75" customHeight="1" x14ac:dyDescent="0.3">
      <c r="AK652" s="54"/>
      <c r="AL652" s="54"/>
      <c r="AM652" s="54"/>
    </row>
    <row r="653" spans="37:39" ht="15.75" customHeight="1" x14ac:dyDescent="0.3">
      <c r="AK653" s="54"/>
      <c r="AL653" s="54"/>
      <c r="AM653" s="54"/>
    </row>
    <row r="654" spans="37:39" ht="15.75" customHeight="1" x14ac:dyDescent="0.3">
      <c r="AK654" s="54"/>
      <c r="AL654" s="54"/>
      <c r="AM654" s="54"/>
    </row>
    <row r="655" spans="37:39" ht="15.75" customHeight="1" x14ac:dyDescent="0.3">
      <c r="AK655" s="54"/>
      <c r="AL655" s="54"/>
      <c r="AM655" s="54"/>
    </row>
    <row r="656" spans="37:39" ht="15.75" customHeight="1" x14ac:dyDescent="0.3">
      <c r="AK656" s="54"/>
      <c r="AL656" s="54"/>
      <c r="AM656" s="54"/>
    </row>
    <row r="657" spans="37:39" ht="15.75" customHeight="1" x14ac:dyDescent="0.3">
      <c r="AK657" s="54"/>
      <c r="AL657" s="54"/>
      <c r="AM657" s="54"/>
    </row>
    <row r="658" spans="37:39" ht="15.75" customHeight="1" x14ac:dyDescent="0.3">
      <c r="AK658" s="54"/>
      <c r="AL658" s="54"/>
      <c r="AM658" s="54"/>
    </row>
    <row r="659" spans="37:39" ht="15.75" customHeight="1" x14ac:dyDescent="0.3">
      <c r="AK659" s="54"/>
      <c r="AL659" s="54"/>
      <c r="AM659" s="54"/>
    </row>
    <row r="660" spans="37:39" ht="15.75" customHeight="1" x14ac:dyDescent="0.3">
      <c r="AK660" s="54"/>
      <c r="AL660" s="54"/>
      <c r="AM660" s="54"/>
    </row>
    <row r="661" spans="37:39" ht="15.75" customHeight="1" x14ac:dyDescent="0.3">
      <c r="AK661" s="54"/>
      <c r="AL661" s="54"/>
      <c r="AM661" s="54"/>
    </row>
    <row r="662" spans="37:39" ht="15.75" customHeight="1" x14ac:dyDescent="0.3">
      <c r="AK662" s="54"/>
      <c r="AL662" s="54"/>
      <c r="AM662" s="54"/>
    </row>
    <row r="663" spans="37:39" ht="15.75" customHeight="1" x14ac:dyDescent="0.3">
      <c r="AK663" s="54"/>
      <c r="AL663" s="54"/>
      <c r="AM663" s="54"/>
    </row>
    <row r="664" spans="37:39" ht="15.75" customHeight="1" x14ac:dyDescent="0.3">
      <c r="AK664" s="54"/>
      <c r="AL664" s="54"/>
      <c r="AM664" s="54"/>
    </row>
    <row r="665" spans="37:39" ht="15.75" customHeight="1" x14ac:dyDescent="0.3">
      <c r="AK665" s="54"/>
      <c r="AL665" s="54"/>
      <c r="AM665" s="54"/>
    </row>
    <row r="666" spans="37:39" ht="15.75" customHeight="1" x14ac:dyDescent="0.3">
      <c r="AK666" s="54"/>
      <c r="AL666" s="54"/>
      <c r="AM666" s="54"/>
    </row>
    <row r="667" spans="37:39" ht="15.75" customHeight="1" x14ac:dyDescent="0.3">
      <c r="AK667" s="54"/>
      <c r="AL667" s="54"/>
      <c r="AM667" s="54"/>
    </row>
    <row r="668" spans="37:39" ht="15.75" customHeight="1" x14ac:dyDescent="0.3">
      <c r="AK668" s="54"/>
      <c r="AL668" s="54"/>
      <c r="AM668" s="54"/>
    </row>
    <row r="669" spans="37:39" ht="15.75" customHeight="1" x14ac:dyDescent="0.3">
      <c r="AK669" s="54"/>
      <c r="AL669" s="54"/>
      <c r="AM669" s="54"/>
    </row>
    <row r="670" spans="37:39" ht="15.75" customHeight="1" x14ac:dyDescent="0.3">
      <c r="AK670" s="54"/>
      <c r="AL670" s="54"/>
      <c r="AM670" s="54"/>
    </row>
    <row r="671" spans="37:39" ht="15.75" customHeight="1" x14ac:dyDescent="0.3">
      <c r="AK671" s="54"/>
      <c r="AL671" s="54"/>
      <c r="AM671" s="54"/>
    </row>
    <row r="672" spans="37:39" ht="15.75" customHeight="1" x14ac:dyDescent="0.3">
      <c r="AK672" s="54"/>
      <c r="AL672" s="54"/>
      <c r="AM672" s="54"/>
    </row>
    <row r="673" spans="37:39" ht="15.75" customHeight="1" x14ac:dyDescent="0.3">
      <c r="AK673" s="54"/>
      <c r="AL673" s="54"/>
      <c r="AM673" s="54"/>
    </row>
    <row r="674" spans="37:39" ht="15.75" customHeight="1" x14ac:dyDescent="0.3">
      <c r="AK674" s="54"/>
      <c r="AL674" s="54"/>
      <c r="AM674" s="54"/>
    </row>
    <row r="675" spans="37:39" ht="15.75" customHeight="1" x14ac:dyDescent="0.3">
      <c r="AK675" s="54"/>
      <c r="AL675" s="54"/>
      <c r="AM675" s="54"/>
    </row>
    <row r="676" spans="37:39" ht="15.75" customHeight="1" x14ac:dyDescent="0.3">
      <c r="AK676" s="54"/>
      <c r="AL676" s="54"/>
      <c r="AM676" s="54"/>
    </row>
    <row r="677" spans="37:39" ht="15.75" customHeight="1" x14ac:dyDescent="0.3">
      <c r="AK677" s="54"/>
      <c r="AL677" s="54"/>
      <c r="AM677" s="54"/>
    </row>
    <row r="678" spans="37:39" ht="15.75" customHeight="1" x14ac:dyDescent="0.3">
      <c r="AK678" s="54"/>
      <c r="AL678" s="54"/>
      <c r="AM678" s="54"/>
    </row>
    <row r="679" spans="37:39" ht="15.75" customHeight="1" x14ac:dyDescent="0.3">
      <c r="AK679" s="54"/>
      <c r="AL679" s="54"/>
      <c r="AM679" s="54"/>
    </row>
    <row r="680" spans="37:39" ht="15.75" customHeight="1" x14ac:dyDescent="0.3">
      <c r="AK680" s="54"/>
      <c r="AL680" s="54"/>
      <c r="AM680" s="54"/>
    </row>
    <row r="681" spans="37:39" ht="15.75" customHeight="1" x14ac:dyDescent="0.3">
      <c r="AK681" s="54"/>
      <c r="AL681" s="54"/>
      <c r="AM681" s="54"/>
    </row>
    <row r="682" spans="37:39" ht="15.75" customHeight="1" x14ac:dyDescent="0.3">
      <c r="AK682" s="54"/>
      <c r="AL682" s="54"/>
      <c r="AM682" s="54"/>
    </row>
    <row r="683" spans="37:39" ht="15.75" customHeight="1" x14ac:dyDescent="0.3">
      <c r="AK683" s="54"/>
      <c r="AL683" s="54"/>
      <c r="AM683" s="54"/>
    </row>
    <row r="684" spans="37:39" ht="15.75" customHeight="1" x14ac:dyDescent="0.3">
      <c r="AK684" s="54"/>
      <c r="AL684" s="54"/>
      <c r="AM684" s="54"/>
    </row>
    <row r="685" spans="37:39" ht="15.75" customHeight="1" x14ac:dyDescent="0.3">
      <c r="AK685" s="54"/>
      <c r="AL685" s="54"/>
      <c r="AM685" s="54"/>
    </row>
    <row r="686" spans="37:39" ht="15.75" customHeight="1" x14ac:dyDescent="0.3">
      <c r="AK686" s="54"/>
      <c r="AL686" s="54"/>
      <c r="AM686" s="54"/>
    </row>
    <row r="687" spans="37:39" ht="15.75" customHeight="1" x14ac:dyDescent="0.3">
      <c r="AK687" s="54"/>
      <c r="AL687" s="54"/>
      <c r="AM687" s="54"/>
    </row>
    <row r="688" spans="37:39" ht="15.75" customHeight="1" x14ac:dyDescent="0.3">
      <c r="AK688" s="54"/>
      <c r="AL688" s="54"/>
      <c r="AM688" s="54"/>
    </row>
    <row r="689" spans="37:39" ht="15.75" customHeight="1" x14ac:dyDescent="0.3">
      <c r="AK689" s="54"/>
      <c r="AL689" s="54"/>
      <c r="AM689" s="54"/>
    </row>
    <row r="690" spans="37:39" ht="15.75" customHeight="1" x14ac:dyDescent="0.3">
      <c r="AK690" s="54"/>
      <c r="AL690" s="54"/>
      <c r="AM690" s="54"/>
    </row>
    <row r="691" spans="37:39" ht="15.75" customHeight="1" x14ac:dyDescent="0.3">
      <c r="AK691" s="54"/>
      <c r="AL691" s="54"/>
      <c r="AM691" s="54"/>
    </row>
    <row r="692" spans="37:39" ht="15.75" customHeight="1" x14ac:dyDescent="0.3">
      <c r="AK692" s="54"/>
      <c r="AL692" s="54"/>
      <c r="AM692" s="54"/>
    </row>
    <row r="693" spans="37:39" ht="15.75" customHeight="1" x14ac:dyDescent="0.3">
      <c r="AK693" s="54"/>
      <c r="AL693" s="54"/>
      <c r="AM693" s="54"/>
    </row>
    <row r="694" spans="37:39" ht="15.75" customHeight="1" x14ac:dyDescent="0.3">
      <c r="AK694" s="54"/>
      <c r="AL694" s="54"/>
      <c r="AM694" s="54"/>
    </row>
    <row r="695" spans="37:39" ht="15.75" customHeight="1" x14ac:dyDescent="0.3">
      <c r="AK695" s="54"/>
      <c r="AL695" s="54"/>
      <c r="AM695" s="54"/>
    </row>
    <row r="696" spans="37:39" ht="15.75" customHeight="1" x14ac:dyDescent="0.3">
      <c r="AK696" s="54"/>
      <c r="AL696" s="54"/>
      <c r="AM696" s="54"/>
    </row>
    <row r="697" spans="37:39" ht="15.75" customHeight="1" x14ac:dyDescent="0.3">
      <c r="AK697" s="54"/>
      <c r="AL697" s="54"/>
      <c r="AM697" s="54"/>
    </row>
    <row r="698" spans="37:39" ht="15.75" customHeight="1" x14ac:dyDescent="0.3">
      <c r="AK698" s="54"/>
      <c r="AL698" s="54"/>
      <c r="AM698" s="54"/>
    </row>
    <row r="699" spans="37:39" ht="15.75" customHeight="1" x14ac:dyDescent="0.3">
      <c r="AK699" s="54"/>
      <c r="AL699" s="54"/>
      <c r="AM699" s="54"/>
    </row>
    <row r="700" spans="37:39" ht="15.75" customHeight="1" x14ac:dyDescent="0.3">
      <c r="AK700" s="54"/>
      <c r="AL700" s="54"/>
      <c r="AM700" s="54"/>
    </row>
    <row r="701" spans="37:39" ht="15.75" customHeight="1" x14ac:dyDescent="0.3">
      <c r="AK701" s="54"/>
      <c r="AL701" s="54"/>
      <c r="AM701" s="54"/>
    </row>
    <row r="702" spans="37:39" ht="15.75" customHeight="1" x14ac:dyDescent="0.3">
      <c r="AK702" s="54"/>
      <c r="AL702" s="54"/>
      <c r="AM702" s="54"/>
    </row>
    <row r="703" spans="37:39" ht="15.75" customHeight="1" x14ac:dyDescent="0.3">
      <c r="AK703" s="54"/>
      <c r="AL703" s="54"/>
      <c r="AM703" s="54"/>
    </row>
    <row r="704" spans="37:39" ht="15.75" customHeight="1" x14ac:dyDescent="0.3">
      <c r="AK704" s="54"/>
      <c r="AL704" s="54"/>
      <c r="AM704" s="54"/>
    </row>
    <row r="705" spans="37:39" ht="15.75" customHeight="1" x14ac:dyDescent="0.3">
      <c r="AK705" s="54"/>
      <c r="AL705" s="54"/>
      <c r="AM705" s="54"/>
    </row>
    <row r="706" spans="37:39" ht="15.75" customHeight="1" x14ac:dyDescent="0.3">
      <c r="AK706" s="54"/>
      <c r="AL706" s="54"/>
      <c r="AM706" s="54"/>
    </row>
    <row r="707" spans="37:39" ht="15.75" customHeight="1" x14ac:dyDescent="0.3">
      <c r="AK707" s="54"/>
      <c r="AL707" s="54"/>
      <c r="AM707" s="54"/>
    </row>
    <row r="708" spans="37:39" ht="15.75" customHeight="1" x14ac:dyDescent="0.3">
      <c r="AK708" s="54"/>
      <c r="AL708" s="54"/>
      <c r="AM708" s="54"/>
    </row>
    <row r="709" spans="37:39" ht="15.75" customHeight="1" x14ac:dyDescent="0.3">
      <c r="AK709" s="54"/>
      <c r="AL709" s="54"/>
      <c r="AM709" s="54"/>
    </row>
    <row r="710" spans="37:39" ht="15.75" customHeight="1" x14ac:dyDescent="0.3">
      <c r="AK710" s="54"/>
      <c r="AL710" s="54"/>
      <c r="AM710" s="54"/>
    </row>
    <row r="711" spans="37:39" ht="15.75" customHeight="1" x14ac:dyDescent="0.3">
      <c r="AK711" s="54"/>
      <c r="AL711" s="54"/>
      <c r="AM711" s="54"/>
    </row>
    <row r="712" spans="37:39" ht="15.75" customHeight="1" x14ac:dyDescent="0.3">
      <c r="AK712" s="54"/>
      <c r="AL712" s="54"/>
      <c r="AM712" s="54"/>
    </row>
    <row r="713" spans="37:39" ht="15.75" customHeight="1" x14ac:dyDescent="0.3">
      <c r="AK713" s="54"/>
      <c r="AL713" s="54"/>
      <c r="AM713" s="54"/>
    </row>
    <row r="714" spans="37:39" ht="15.75" customHeight="1" x14ac:dyDescent="0.3">
      <c r="AK714" s="54"/>
      <c r="AL714" s="54"/>
      <c r="AM714" s="54"/>
    </row>
    <row r="715" spans="37:39" ht="15.75" customHeight="1" x14ac:dyDescent="0.3">
      <c r="AK715" s="54"/>
      <c r="AL715" s="54"/>
      <c r="AM715" s="54"/>
    </row>
    <row r="716" spans="37:39" ht="15.75" customHeight="1" x14ac:dyDescent="0.3">
      <c r="AK716" s="54"/>
      <c r="AL716" s="54"/>
      <c r="AM716" s="54"/>
    </row>
    <row r="717" spans="37:39" ht="15.75" customHeight="1" x14ac:dyDescent="0.3">
      <c r="AK717" s="54"/>
      <c r="AL717" s="54"/>
      <c r="AM717" s="54"/>
    </row>
    <row r="718" spans="37:39" ht="15.75" customHeight="1" x14ac:dyDescent="0.3">
      <c r="AK718" s="54"/>
      <c r="AL718" s="54"/>
      <c r="AM718" s="54"/>
    </row>
    <row r="719" spans="37:39" ht="15.75" customHeight="1" x14ac:dyDescent="0.3">
      <c r="AK719" s="54"/>
      <c r="AL719" s="54"/>
      <c r="AM719" s="54"/>
    </row>
    <row r="720" spans="37:39" ht="15.75" customHeight="1" x14ac:dyDescent="0.3">
      <c r="AK720" s="54"/>
      <c r="AL720" s="54"/>
      <c r="AM720" s="54"/>
    </row>
    <row r="721" spans="37:39" ht="15.75" customHeight="1" x14ac:dyDescent="0.3">
      <c r="AK721" s="54"/>
      <c r="AL721" s="54"/>
      <c r="AM721" s="54"/>
    </row>
    <row r="722" spans="37:39" ht="15.75" customHeight="1" x14ac:dyDescent="0.3">
      <c r="AK722" s="54"/>
      <c r="AL722" s="54"/>
      <c r="AM722" s="54"/>
    </row>
    <row r="723" spans="37:39" ht="15.75" customHeight="1" x14ac:dyDescent="0.3">
      <c r="AK723" s="54"/>
      <c r="AL723" s="54"/>
      <c r="AM723" s="54"/>
    </row>
    <row r="724" spans="37:39" ht="15.75" customHeight="1" x14ac:dyDescent="0.3">
      <c r="AK724" s="54"/>
      <c r="AL724" s="54"/>
      <c r="AM724" s="54"/>
    </row>
    <row r="725" spans="37:39" ht="15.75" customHeight="1" x14ac:dyDescent="0.3">
      <c r="AK725" s="54"/>
      <c r="AL725" s="54"/>
      <c r="AM725" s="54"/>
    </row>
    <row r="726" spans="37:39" ht="15.75" customHeight="1" x14ac:dyDescent="0.3">
      <c r="AK726" s="54"/>
      <c r="AL726" s="54"/>
      <c r="AM726" s="54"/>
    </row>
    <row r="727" spans="37:39" ht="15.75" customHeight="1" x14ac:dyDescent="0.3">
      <c r="AK727" s="54"/>
      <c r="AL727" s="54"/>
      <c r="AM727" s="54"/>
    </row>
    <row r="728" spans="37:39" ht="15.75" customHeight="1" x14ac:dyDescent="0.3">
      <c r="AK728" s="54"/>
      <c r="AL728" s="54"/>
      <c r="AM728" s="54"/>
    </row>
    <row r="729" spans="37:39" ht="15.75" customHeight="1" x14ac:dyDescent="0.3">
      <c r="AK729" s="54"/>
      <c r="AL729" s="54"/>
      <c r="AM729" s="54"/>
    </row>
    <row r="730" spans="37:39" ht="15.75" customHeight="1" x14ac:dyDescent="0.3">
      <c r="AK730" s="54"/>
      <c r="AL730" s="54"/>
      <c r="AM730" s="54"/>
    </row>
    <row r="731" spans="37:39" ht="15.75" customHeight="1" x14ac:dyDescent="0.3">
      <c r="AK731" s="54"/>
      <c r="AL731" s="54"/>
      <c r="AM731" s="54"/>
    </row>
    <row r="732" spans="37:39" ht="15.75" customHeight="1" x14ac:dyDescent="0.3">
      <c r="AK732" s="54"/>
      <c r="AL732" s="54"/>
      <c r="AM732" s="54"/>
    </row>
    <row r="733" spans="37:39" ht="15.75" customHeight="1" x14ac:dyDescent="0.3">
      <c r="AK733" s="54"/>
      <c r="AL733" s="54"/>
      <c r="AM733" s="54"/>
    </row>
    <row r="734" spans="37:39" ht="15.75" customHeight="1" x14ac:dyDescent="0.3">
      <c r="AK734" s="54"/>
      <c r="AL734" s="54"/>
      <c r="AM734" s="54"/>
    </row>
    <row r="735" spans="37:39" ht="15.75" customHeight="1" x14ac:dyDescent="0.3">
      <c r="AK735" s="54"/>
      <c r="AL735" s="54"/>
      <c r="AM735" s="54"/>
    </row>
    <row r="736" spans="37:39" ht="15.75" customHeight="1" x14ac:dyDescent="0.3">
      <c r="AK736" s="54"/>
      <c r="AL736" s="54"/>
      <c r="AM736" s="54"/>
    </row>
    <row r="737" spans="37:39" ht="15.75" customHeight="1" x14ac:dyDescent="0.3">
      <c r="AK737" s="54"/>
      <c r="AL737" s="54"/>
      <c r="AM737" s="54"/>
    </row>
    <row r="738" spans="37:39" ht="15.75" customHeight="1" x14ac:dyDescent="0.3">
      <c r="AK738" s="54"/>
      <c r="AL738" s="54"/>
      <c r="AM738" s="54"/>
    </row>
    <row r="739" spans="37:39" ht="15.75" customHeight="1" x14ac:dyDescent="0.3">
      <c r="AK739" s="54"/>
      <c r="AL739" s="54"/>
      <c r="AM739" s="54"/>
    </row>
    <row r="740" spans="37:39" ht="15.75" customHeight="1" x14ac:dyDescent="0.3">
      <c r="AK740" s="54"/>
      <c r="AL740" s="54"/>
      <c r="AM740" s="54"/>
    </row>
    <row r="741" spans="37:39" ht="15.75" customHeight="1" x14ac:dyDescent="0.3">
      <c r="AK741" s="54"/>
      <c r="AL741" s="54"/>
      <c r="AM741" s="54"/>
    </row>
    <row r="742" spans="37:39" ht="15.75" customHeight="1" x14ac:dyDescent="0.3">
      <c r="AK742" s="54"/>
      <c r="AL742" s="54"/>
      <c r="AM742" s="54"/>
    </row>
    <row r="743" spans="37:39" ht="15.75" customHeight="1" x14ac:dyDescent="0.3">
      <c r="AK743" s="54"/>
      <c r="AL743" s="54"/>
      <c r="AM743" s="54"/>
    </row>
    <row r="744" spans="37:39" ht="15.75" customHeight="1" x14ac:dyDescent="0.3">
      <c r="AK744" s="54"/>
      <c r="AL744" s="54"/>
      <c r="AM744" s="54"/>
    </row>
    <row r="745" spans="37:39" ht="15.75" customHeight="1" x14ac:dyDescent="0.3">
      <c r="AK745" s="54"/>
      <c r="AL745" s="54"/>
      <c r="AM745" s="54"/>
    </row>
    <row r="746" spans="37:39" ht="15.75" customHeight="1" x14ac:dyDescent="0.3">
      <c r="AK746" s="54"/>
      <c r="AL746" s="54"/>
      <c r="AM746" s="54"/>
    </row>
    <row r="747" spans="37:39" ht="15.75" customHeight="1" x14ac:dyDescent="0.3">
      <c r="AK747" s="54"/>
      <c r="AL747" s="54"/>
      <c r="AM747" s="54"/>
    </row>
    <row r="748" spans="37:39" ht="15.75" customHeight="1" x14ac:dyDescent="0.3">
      <c r="AK748" s="54"/>
      <c r="AL748" s="54"/>
      <c r="AM748" s="54"/>
    </row>
    <row r="749" spans="37:39" ht="15.75" customHeight="1" x14ac:dyDescent="0.3">
      <c r="AK749" s="54"/>
      <c r="AL749" s="54"/>
      <c r="AM749" s="54"/>
    </row>
    <row r="750" spans="37:39" ht="15.75" customHeight="1" x14ac:dyDescent="0.3">
      <c r="AK750" s="54"/>
      <c r="AL750" s="54"/>
      <c r="AM750" s="54"/>
    </row>
    <row r="751" spans="37:39" ht="15.75" customHeight="1" x14ac:dyDescent="0.3">
      <c r="AK751" s="54"/>
      <c r="AL751" s="54"/>
      <c r="AM751" s="54"/>
    </row>
    <row r="752" spans="37:39" ht="15.75" customHeight="1" x14ac:dyDescent="0.3">
      <c r="AK752" s="54"/>
      <c r="AL752" s="54"/>
      <c r="AM752" s="54"/>
    </row>
    <row r="753" spans="37:39" ht="15.75" customHeight="1" x14ac:dyDescent="0.3">
      <c r="AK753" s="54"/>
      <c r="AL753" s="54"/>
      <c r="AM753" s="54"/>
    </row>
    <row r="754" spans="37:39" ht="15.75" customHeight="1" x14ac:dyDescent="0.3">
      <c r="AK754" s="54"/>
      <c r="AL754" s="54"/>
      <c r="AM754" s="54"/>
    </row>
    <row r="755" spans="37:39" ht="15.75" customHeight="1" x14ac:dyDescent="0.3">
      <c r="AK755" s="54"/>
      <c r="AL755" s="54"/>
      <c r="AM755" s="54"/>
    </row>
    <row r="756" spans="37:39" ht="15.75" customHeight="1" x14ac:dyDescent="0.3">
      <c r="AK756" s="54"/>
      <c r="AL756" s="54"/>
      <c r="AM756" s="54"/>
    </row>
    <row r="757" spans="37:39" ht="15.75" customHeight="1" x14ac:dyDescent="0.3">
      <c r="AK757" s="54"/>
      <c r="AL757" s="54"/>
      <c r="AM757" s="54"/>
    </row>
    <row r="758" spans="37:39" ht="15.75" customHeight="1" x14ac:dyDescent="0.3">
      <c r="AK758" s="54"/>
      <c r="AL758" s="54"/>
      <c r="AM758" s="54"/>
    </row>
    <row r="759" spans="37:39" ht="15.75" customHeight="1" x14ac:dyDescent="0.3">
      <c r="AK759" s="54"/>
      <c r="AL759" s="54"/>
      <c r="AM759" s="54"/>
    </row>
    <row r="760" spans="37:39" ht="15.75" customHeight="1" x14ac:dyDescent="0.3">
      <c r="AK760" s="54"/>
      <c r="AL760" s="54"/>
      <c r="AM760" s="54"/>
    </row>
    <row r="761" spans="37:39" ht="15.75" customHeight="1" x14ac:dyDescent="0.3">
      <c r="AK761" s="54"/>
      <c r="AL761" s="54"/>
      <c r="AM761" s="54"/>
    </row>
    <row r="762" spans="37:39" ht="15.75" customHeight="1" x14ac:dyDescent="0.3">
      <c r="AK762" s="54"/>
      <c r="AL762" s="54"/>
      <c r="AM762" s="54"/>
    </row>
    <row r="763" spans="37:39" ht="15.75" customHeight="1" x14ac:dyDescent="0.3">
      <c r="AK763" s="54"/>
      <c r="AL763" s="54"/>
      <c r="AM763" s="54"/>
    </row>
    <row r="764" spans="37:39" ht="15.75" customHeight="1" x14ac:dyDescent="0.3">
      <c r="AK764" s="54"/>
      <c r="AL764" s="54"/>
      <c r="AM764" s="54"/>
    </row>
    <row r="765" spans="37:39" ht="15.75" customHeight="1" x14ac:dyDescent="0.3">
      <c r="AK765" s="54"/>
      <c r="AL765" s="54"/>
      <c r="AM765" s="54"/>
    </row>
    <row r="766" spans="37:39" ht="15.75" customHeight="1" x14ac:dyDescent="0.3">
      <c r="AK766" s="54"/>
      <c r="AL766" s="54"/>
      <c r="AM766" s="54"/>
    </row>
    <row r="767" spans="37:39" ht="15.75" customHeight="1" x14ac:dyDescent="0.3">
      <c r="AK767" s="54"/>
      <c r="AL767" s="54"/>
      <c r="AM767" s="54"/>
    </row>
    <row r="768" spans="37:39" ht="15.75" customHeight="1" x14ac:dyDescent="0.3">
      <c r="AK768" s="54"/>
      <c r="AL768" s="54"/>
      <c r="AM768" s="54"/>
    </row>
    <row r="769" spans="37:39" ht="15.75" customHeight="1" x14ac:dyDescent="0.3">
      <c r="AK769" s="54"/>
      <c r="AL769" s="54"/>
      <c r="AM769" s="54"/>
    </row>
    <row r="770" spans="37:39" ht="15.75" customHeight="1" x14ac:dyDescent="0.3">
      <c r="AK770" s="54"/>
      <c r="AL770" s="54"/>
      <c r="AM770" s="54"/>
    </row>
    <row r="771" spans="37:39" ht="15.75" customHeight="1" x14ac:dyDescent="0.3">
      <c r="AK771" s="54"/>
      <c r="AL771" s="54"/>
      <c r="AM771" s="54"/>
    </row>
    <row r="772" spans="37:39" ht="15.75" customHeight="1" x14ac:dyDescent="0.3">
      <c r="AK772" s="54"/>
      <c r="AL772" s="54"/>
      <c r="AM772" s="54"/>
    </row>
    <row r="773" spans="37:39" ht="15.75" customHeight="1" x14ac:dyDescent="0.3">
      <c r="AK773" s="54"/>
      <c r="AL773" s="54"/>
      <c r="AM773" s="54"/>
    </row>
    <row r="774" spans="37:39" ht="15.75" customHeight="1" x14ac:dyDescent="0.3">
      <c r="AK774" s="54"/>
      <c r="AL774" s="54"/>
      <c r="AM774" s="54"/>
    </row>
    <row r="775" spans="37:39" ht="15.75" customHeight="1" x14ac:dyDescent="0.3">
      <c r="AK775" s="54"/>
      <c r="AL775" s="54"/>
      <c r="AM775" s="54"/>
    </row>
    <row r="776" spans="37:39" ht="15.75" customHeight="1" x14ac:dyDescent="0.3">
      <c r="AK776" s="54"/>
      <c r="AL776" s="54"/>
      <c r="AM776" s="54"/>
    </row>
    <row r="777" spans="37:39" ht="15.75" customHeight="1" x14ac:dyDescent="0.3">
      <c r="AK777" s="54"/>
      <c r="AL777" s="54"/>
      <c r="AM777" s="54"/>
    </row>
    <row r="778" spans="37:39" ht="15.75" customHeight="1" x14ac:dyDescent="0.3">
      <c r="AK778" s="54"/>
      <c r="AL778" s="54"/>
      <c r="AM778" s="54"/>
    </row>
    <row r="779" spans="37:39" ht="15.75" customHeight="1" x14ac:dyDescent="0.3">
      <c r="AK779" s="54"/>
      <c r="AL779" s="54"/>
      <c r="AM779" s="54"/>
    </row>
    <row r="780" spans="37:39" ht="15.75" customHeight="1" x14ac:dyDescent="0.3">
      <c r="AK780" s="54"/>
      <c r="AL780" s="54"/>
      <c r="AM780" s="54"/>
    </row>
    <row r="781" spans="37:39" ht="15.75" customHeight="1" x14ac:dyDescent="0.3">
      <c r="AK781" s="54"/>
      <c r="AL781" s="54"/>
      <c r="AM781" s="54"/>
    </row>
    <row r="782" spans="37:39" ht="15.75" customHeight="1" x14ac:dyDescent="0.3">
      <c r="AK782" s="54"/>
      <c r="AL782" s="54"/>
      <c r="AM782" s="54"/>
    </row>
    <row r="783" spans="37:39" ht="15.75" customHeight="1" x14ac:dyDescent="0.3">
      <c r="AK783" s="54"/>
      <c r="AL783" s="54"/>
      <c r="AM783" s="54"/>
    </row>
    <row r="784" spans="37:39" ht="15.75" customHeight="1" x14ac:dyDescent="0.3">
      <c r="AK784" s="54"/>
      <c r="AL784" s="54"/>
      <c r="AM784" s="54"/>
    </row>
    <row r="785" spans="37:39" ht="15.75" customHeight="1" x14ac:dyDescent="0.3">
      <c r="AK785" s="54"/>
      <c r="AL785" s="54"/>
      <c r="AM785" s="54"/>
    </row>
    <row r="786" spans="37:39" ht="15.75" customHeight="1" x14ac:dyDescent="0.3">
      <c r="AK786" s="54"/>
      <c r="AL786" s="54"/>
      <c r="AM786" s="54"/>
    </row>
    <row r="787" spans="37:39" ht="15.75" customHeight="1" x14ac:dyDescent="0.3">
      <c r="AK787" s="54"/>
      <c r="AL787" s="54"/>
      <c r="AM787" s="54"/>
    </row>
    <row r="788" spans="37:39" ht="15.75" customHeight="1" x14ac:dyDescent="0.3">
      <c r="AK788" s="54"/>
      <c r="AL788" s="54"/>
      <c r="AM788" s="54"/>
    </row>
    <row r="789" spans="37:39" ht="15.75" customHeight="1" x14ac:dyDescent="0.3">
      <c r="AK789" s="54"/>
      <c r="AL789" s="54"/>
      <c r="AM789" s="54"/>
    </row>
    <row r="790" spans="37:39" ht="15.75" customHeight="1" x14ac:dyDescent="0.3">
      <c r="AK790" s="54"/>
      <c r="AL790" s="54"/>
      <c r="AM790" s="54"/>
    </row>
    <row r="791" spans="37:39" ht="15.75" customHeight="1" x14ac:dyDescent="0.3">
      <c r="AK791" s="54"/>
      <c r="AL791" s="54"/>
      <c r="AM791" s="54"/>
    </row>
    <row r="792" spans="37:39" ht="15.75" customHeight="1" x14ac:dyDescent="0.3">
      <c r="AK792" s="54"/>
      <c r="AL792" s="54"/>
      <c r="AM792" s="54"/>
    </row>
    <row r="793" spans="37:39" ht="15.75" customHeight="1" x14ac:dyDescent="0.3">
      <c r="AK793" s="54"/>
      <c r="AL793" s="54"/>
      <c r="AM793" s="54"/>
    </row>
    <row r="794" spans="37:39" ht="15.75" customHeight="1" x14ac:dyDescent="0.3">
      <c r="AK794" s="54"/>
      <c r="AL794" s="54"/>
      <c r="AM794" s="54"/>
    </row>
    <row r="795" spans="37:39" ht="15.75" customHeight="1" x14ac:dyDescent="0.3">
      <c r="AK795" s="54"/>
      <c r="AL795" s="54"/>
      <c r="AM795" s="54"/>
    </row>
    <row r="796" spans="37:39" ht="15.75" customHeight="1" x14ac:dyDescent="0.3">
      <c r="AK796" s="54"/>
      <c r="AL796" s="54"/>
      <c r="AM796" s="54"/>
    </row>
    <row r="797" spans="37:39" ht="15.75" customHeight="1" x14ac:dyDescent="0.3">
      <c r="AK797" s="54"/>
      <c r="AL797" s="54"/>
      <c r="AM797" s="54"/>
    </row>
    <row r="798" spans="37:39" ht="15.75" customHeight="1" x14ac:dyDescent="0.3">
      <c r="AK798" s="54"/>
      <c r="AL798" s="54"/>
      <c r="AM798" s="54"/>
    </row>
    <row r="799" spans="37:39" ht="15.75" customHeight="1" x14ac:dyDescent="0.3">
      <c r="AK799" s="54"/>
      <c r="AL799" s="54"/>
      <c r="AM799" s="54"/>
    </row>
    <row r="800" spans="37:39" ht="15.75" customHeight="1" x14ac:dyDescent="0.3">
      <c r="AK800" s="54"/>
      <c r="AL800" s="54"/>
      <c r="AM800" s="54"/>
    </row>
    <row r="801" spans="37:39" ht="15.75" customHeight="1" x14ac:dyDescent="0.3">
      <c r="AK801" s="54"/>
      <c r="AL801" s="54"/>
      <c r="AM801" s="54"/>
    </row>
    <row r="802" spans="37:39" ht="15.75" customHeight="1" x14ac:dyDescent="0.3">
      <c r="AK802" s="54"/>
      <c r="AL802" s="54"/>
      <c r="AM802" s="54"/>
    </row>
    <row r="803" spans="37:39" ht="15.75" customHeight="1" x14ac:dyDescent="0.3">
      <c r="AK803" s="54"/>
      <c r="AL803" s="54"/>
      <c r="AM803" s="54"/>
    </row>
    <row r="804" spans="37:39" ht="15.75" customHeight="1" x14ac:dyDescent="0.3">
      <c r="AK804" s="54"/>
      <c r="AL804" s="54"/>
      <c r="AM804" s="54"/>
    </row>
    <row r="805" spans="37:39" ht="15.75" customHeight="1" x14ac:dyDescent="0.3">
      <c r="AK805" s="54"/>
      <c r="AL805" s="54"/>
      <c r="AM805" s="54"/>
    </row>
    <row r="806" spans="37:39" ht="15.75" customHeight="1" x14ac:dyDescent="0.3">
      <c r="AK806" s="54"/>
      <c r="AL806" s="54"/>
      <c r="AM806" s="54"/>
    </row>
    <row r="807" spans="37:39" ht="15.75" customHeight="1" x14ac:dyDescent="0.3">
      <c r="AK807" s="54"/>
      <c r="AL807" s="54"/>
      <c r="AM807" s="54"/>
    </row>
    <row r="808" spans="37:39" ht="15.75" customHeight="1" x14ac:dyDescent="0.3">
      <c r="AK808" s="54"/>
      <c r="AL808" s="54"/>
      <c r="AM808" s="54"/>
    </row>
    <row r="809" spans="37:39" ht="15.75" customHeight="1" x14ac:dyDescent="0.3">
      <c r="AK809" s="54"/>
      <c r="AL809" s="54"/>
      <c r="AM809" s="54"/>
    </row>
    <row r="810" spans="37:39" ht="15.75" customHeight="1" x14ac:dyDescent="0.3">
      <c r="AK810" s="54"/>
      <c r="AL810" s="54"/>
      <c r="AM810" s="54"/>
    </row>
    <row r="811" spans="37:39" ht="15.75" customHeight="1" x14ac:dyDescent="0.3">
      <c r="AK811" s="54"/>
      <c r="AL811" s="54"/>
      <c r="AM811" s="54"/>
    </row>
    <row r="812" spans="37:39" ht="15.75" customHeight="1" x14ac:dyDescent="0.3">
      <c r="AK812" s="54"/>
      <c r="AL812" s="54"/>
      <c r="AM812" s="54"/>
    </row>
    <row r="813" spans="37:39" ht="15.75" customHeight="1" x14ac:dyDescent="0.3">
      <c r="AK813" s="54"/>
      <c r="AL813" s="54"/>
      <c r="AM813" s="54"/>
    </row>
    <row r="814" spans="37:39" ht="15.75" customHeight="1" x14ac:dyDescent="0.3">
      <c r="AK814" s="54"/>
      <c r="AL814" s="54"/>
      <c r="AM814" s="54"/>
    </row>
    <row r="815" spans="37:39" ht="15.75" customHeight="1" x14ac:dyDescent="0.3">
      <c r="AK815" s="54"/>
      <c r="AL815" s="54"/>
      <c r="AM815" s="54"/>
    </row>
    <row r="816" spans="37:39" ht="15.75" customHeight="1" x14ac:dyDescent="0.3">
      <c r="AK816" s="54"/>
      <c r="AL816" s="54"/>
      <c r="AM816" s="54"/>
    </row>
    <row r="817" spans="37:39" ht="15.75" customHeight="1" x14ac:dyDescent="0.3">
      <c r="AK817" s="54"/>
      <c r="AL817" s="54"/>
      <c r="AM817" s="54"/>
    </row>
    <row r="818" spans="37:39" ht="15.75" customHeight="1" x14ac:dyDescent="0.3">
      <c r="AK818" s="54"/>
      <c r="AL818" s="54"/>
      <c r="AM818" s="54"/>
    </row>
    <row r="819" spans="37:39" ht="15.75" customHeight="1" x14ac:dyDescent="0.3">
      <c r="AK819" s="54"/>
      <c r="AL819" s="54"/>
      <c r="AM819" s="54"/>
    </row>
    <row r="820" spans="37:39" ht="15.75" customHeight="1" x14ac:dyDescent="0.3">
      <c r="AK820" s="54"/>
      <c r="AL820" s="54"/>
      <c r="AM820" s="54"/>
    </row>
    <row r="821" spans="37:39" ht="15.75" customHeight="1" x14ac:dyDescent="0.3">
      <c r="AK821" s="54"/>
      <c r="AL821" s="54"/>
      <c r="AM821" s="54"/>
    </row>
    <row r="822" spans="37:39" ht="15.75" customHeight="1" x14ac:dyDescent="0.3">
      <c r="AK822" s="54"/>
      <c r="AL822" s="54"/>
      <c r="AM822" s="54"/>
    </row>
    <row r="823" spans="37:39" ht="15.75" customHeight="1" x14ac:dyDescent="0.3">
      <c r="AK823" s="54"/>
      <c r="AL823" s="54"/>
      <c r="AM823" s="54"/>
    </row>
    <row r="824" spans="37:39" ht="15.75" customHeight="1" x14ac:dyDescent="0.3">
      <c r="AK824" s="54"/>
      <c r="AL824" s="54"/>
      <c r="AM824" s="54"/>
    </row>
    <row r="825" spans="37:39" ht="15.75" customHeight="1" x14ac:dyDescent="0.3">
      <c r="AK825" s="54"/>
      <c r="AL825" s="54"/>
      <c r="AM825" s="54"/>
    </row>
    <row r="826" spans="37:39" ht="15.75" customHeight="1" x14ac:dyDescent="0.3">
      <c r="AK826" s="54"/>
      <c r="AL826" s="54"/>
      <c r="AM826" s="54"/>
    </row>
    <row r="827" spans="37:39" ht="15.75" customHeight="1" x14ac:dyDescent="0.3">
      <c r="AK827" s="54"/>
      <c r="AL827" s="54"/>
      <c r="AM827" s="54"/>
    </row>
    <row r="828" spans="37:39" ht="15.75" customHeight="1" x14ac:dyDescent="0.3">
      <c r="AK828" s="54"/>
      <c r="AL828" s="54"/>
      <c r="AM828" s="54"/>
    </row>
    <row r="829" spans="37:39" ht="15.75" customHeight="1" x14ac:dyDescent="0.3">
      <c r="AK829" s="54"/>
      <c r="AL829" s="54"/>
      <c r="AM829" s="54"/>
    </row>
    <row r="830" spans="37:39" ht="15.75" customHeight="1" x14ac:dyDescent="0.3">
      <c r="AK830" s="54"/>
      <c r="AL830" s="54"/>
      <c r="AM830" s="54"/>
    </row>
    <row r="831" spans="37:39" ht="15.75" customHeight="1" x14ac:dyDescent="0.3">
      <c r="AK831" s="54"/>
      <c r="AL831" s="54"/>
      <c r="AM831" s="54"/>
    </row>
    <row r="832" spans="37:39" ht="15.75" customHeight="1" x14ac:dyDescent="0.3">
      <c r="AK832" s="54"/>
      <c r="AL832" s="54"/>
      <c r="AM832" s="54"/>
    </row>
    <row r="833" spans="37:39" ht="15.75" customHeight="1" x14ac:dyDescent="0.3">
      <c r="AK833" s="54"/>
      <c r="AL833" s="54"/>
      <c r="AM833" s="54"/>
    </row>
    <row r="834" spans="37:39" ht="15.75" customHeight="1" x14ac:dyDescent="0.3">
      <c r="AK834" s="54"/>
      <c r="AL834" s="54"/>
      <c r="AM834" s="54"/>
    </row>
    <row r="835" spans="37:39" ht="15.75" customHeight="1" x14ac:dyDescent="0.3">
      <c r="AK835" s="54"/>
      <c r="AL835" s="54"/>
      <c r="AM835" s="54"/>
    </row>
    <row r="836" spans="37:39" ht="15.75" customHeight="1" x14ac:dyDescent="0.3">
      <c r="AK836" s="54"/>
      <c r="AL836" s="54"/>
      <c r="AM836" s="54"/>
    </row>
    <row r="837" spans="37:39" ht="15.75" customHeight="1" x14ac:dyDescent="0.3">
      <c r="AK837" s="54"/>
      <c r="AL837" s="54"/>
      <c r="AM837" s="54"/>
    </row>
    <row r="838" spans="37:39" ht="15.75" customHeight="1" x14ac:dyDescent="0.3">
      <c r="AK838" s="54"/>
      <c r="AL838" s="54"/>
      <c r="AM838" s="54"/>
    </row>
    <row r="839" spans="37:39" ht="15.75" customHeight="1" x14ac:dyDescent="0.3">
      <c r="AK839" s="54"/>
      <c r="AL839" s="54"/>
      <c r="AM839" s="54"/>
    </row>
    <row r="840" spans="37:39" ht="15.75" customHeight="1" x14ac:dyDescent="0.3">
      <c r="AK840" s="54"/>
      <c r="AL840" s="54"/>
      <c r="AM840" s="54"/>
    </row>
    <row r="841" spans="37:39" ht="15.75" customHeight="1" x14ac:dyDescent="0.3">
      <c r="AK841" s="54"/>
      <c r="AL841" s="54"/>
      <c r="AM841" s="54"/>
    </row>
    <row r="842" spans="37:39" ht="15.75" customHeight="1" x14ac:dyDescent="0.3">
      <c r="AK842" s="54"/>
      <c r="AL842" s="54"/>
      <c r="AM842" s="54"/>
    </row>
    <row r="843" spans="37:39" ht="15.75" customHeight="1" x14ac:dyDescent="0.3">
      <c r="AK843" s="54"/>
      <c r="AL843" s="54"/>
      <c r="AM843" s="54"/>
    </row>
    <row r="844" spans="37:39" ht="15.75" customHeight="1" x14ac:dyDescent="0.3">
      <c r="AK844" s="54"/>
      <c r="AL844" s="54"/>
      <c r="AM844" s="54"/>
    </row>
    <row r="845" spans="37:39" ht="15.75" customHeight="1" x14ac:dyDescent="0.3">
      <c r="AK845" s="54"/>
      <c r="AL845" s="54"/>
      <c r="AM845" s="54"/>
    </row>
    <row r="846" spans="37:39" ht="15.75" customHeight="1" x14ac:dyDescent="0.3">
      <c r="AK846" s="54"/>
      <c r="AL846" s="54"/>
      <c r="AM846" s="54"/>
    </row>
    <row r="847" spans="37:39" ht="15.75" customHeight="1" x14ac:dyDescent="0.3">
      <c r="AK847" s="54"/>
      <c r="AL847" s="54"/>
      <c r="AM847" s="54"/>
    </row>
    <row r="848" spans="37:39" ht="15.75" customHeight="1" x14ac:dyDescent="0.3">
      <c r="AK848" s="54"/>
      <c r="AL848" s="54"/>
      <c r="AM848" s="54"/>
    </row>
    <row r="849" spans="37:39" ht="15.75" customHeight="1" x14ac:dyDescent="0.3">
      <c r="AK849" s="54"/>
      <c r="AL849" s="54"/>
      <c r="AM849" s="54"/>
    </row>
    <row r="850" spans="37:39" ht="15.75" customHeight="1" x14ac:dyDescent="0.3">
      <c r="AK850" s="54"/>
      <c r="AL850" s="54"/>
      <c r="AM850" s="54"/>
    </row>
    <row r="851" spans="37:39" ht="15.75" customHeight="1" x14ac:dyDescent="0.3">
      <c r="AK851" s="54"/>
      <c r="AL851" s="54"/>
      <c r="AM851" s="54"/>
    </row>
    <row r="852" spans="37:39" ht="15.75" customHeight="1" x14ac:dyDescent="0.3">
      <c r="AK852" s="54"/>
      <c r="AL852" s="54"/>
      <c r="AM852" s="54"/>
    </row>
    <row r="853" spans="37:39" ht="15.75" customHeight="1" x14ac:dyDescent="0.3">
      <c r="AK853" s="54"/>
      <c r="AL853" s="54"/>
      <c r="AM853" s="54"/>
    </row>
    <row r="854" spans="37:39" ht="15.75" customHeight="1" x14ac:dyDescent="0.3">
      <c r="AK854" s="54"/>
      <c r="AL854" s="54"/>
      <c r="AM854" s="54"/>
    </row>
    <row r="855" spans="37:39" ht="15.75" customHeight="1" x14ac:dyDescent="0.3">
      <c r="AK855" s="54"/>
      <c r="AL855" s="54"/>
      <c r="AM855" s="54"/>
    </row>
    <row r="856" spans="37:39" ht="15.75" customHeight="1" x14ac:dyDescent="0.3">
      <c r="AK856" s="54"/>
      <c r="AL856" s="54"/>
      <c r="AM856" s="54"/>
    </row>
    <row r="857" spans="37:39" ht="15.75" customHeight="1" x14ac:dyDescent="0.3">
      <c r="AK857" s="54"/>
      <c r="AL857" s="54"/>
      <c r="AM857" s="54"/>
    </row>
    <row r="858" spans="37:39" ht="15.75" customHeight="1" x14ac:dyDescent="0.3">
      <c r="AK858" s="54"/>
      <c r="AL858" s="54"/>
      <c r="AM858" s="54"/>
    </row>
    <row r="859" spans="37:39" ht="15.75" customHeight="1" x14ac:dyDescent="0.3">
      <c r="AK859" s="54"/>
      <c r="AL859" s="54"/>
      <c r="AM859" s="54"/>
    </row>
    <row r="860" spans="37:39" ht="15.75" customHeight="1" x14ac:dyDescent="0.3">
      <c r="AK860" s="54"/>
      <c r="AL860" s="54"/>
      <c r="AM860" s="54"/>
    </row>
    <row r="861" spans="37:39" ht="15.75" customHeight="1" x14ac:dyDescent="0.3">
      <c r="AK861" s="54"/>
      <c r="AL861" s="54"/>
      <c r="AM861" s="54"/>
    </row>
    <row r="862" spans="37:39" ht="15.75" customHeight="1" x14ac:dyDescent="0.3">
      <c r="AK862" s="54"/>
      <c r="AL862" s="54"/>
      <c r="AM862" s="54"/>
    </row>
    <row r="863" spans="37:39" ht="15.75" customHeight="1" x14ac:dyDescent="0.3">
      <c r="AK863" s="54"/>
      <c r="AL863" s="54"/>
      <c r="AM863" s="54"/>
    </row>
    <row r="864" spans="37:39" ht="15.75" customHeight="1" x14ac:dyDescent="0.3">
      <c r="AK864" s="54"/>
      <c r="AL864" s="54"/>
      <c r="AM864" s="54"/>
    </row>
    <row r="865" spans="37:39" ht="15.75" customHeight="1" x14ac:dyDescent="0.3">
      <c r="AK865" s="54"/>
      <c r="AL865" s="54"/>
      <c r="AM865" s="54"/>
    </row>
    <row r="866" spans="37:39" ht="15.75" customHeight="1" x14ac:dyDescent="0.3">
      <c r="AK866" s="54"/>
      <c r="AL866" s="54"/>
      <c r="AM866" s="54"/>
    </row>
    <row r="867" spans="37:39" ht="15.75" customHeight="1" x14ac:dyDescent="0.3">
      <c r="AK867" s="54"/>
      <c r="AL867" s="54"/>
      <c r="AM867" s="54"/>
    </row>
    <row r="868" spans="37:39" ht="15.75" customHeight="1" x14ac:dyDescent="0.3">
      <c r="AK868" s="54"/>
      <c r="AL868" s="54"/>
      <c r="AM868" s="54"/>
    </row>
    <row r="869" spans="37:39" ht="15.75" customHeight="1" x14ac:dyDescent="0.3">
      <c r="AK869" s="54"/>
      <c r="AL869" s="54"/>
      <c r="AM869" s="54"/>
    </row>
    <row r="870" spans="37:39" ht="15.75" customHeight="1" x14ac:dyDescent="0.3">
      <c r="AK870" s="54"/>
      <c r="AL870" s="54"/>
      <c r="AM870" s="54"/>
    </row>
    <row r="871" spans="37:39" ht="15.75" customHeight="1" x14ac:dyDescent="0.3">
      <c r="AK871" s="54"/>
      <c r="AL871" s="54"/>
      <c r="AM871" s="54"/>
    </row>
    <row r="872" spans="37:39" ht="15.75" customHeight="1" x14ac:dyDescent="0.3">
      <c r="AK872" s="54"/>
      <c r="AL872" s="54"/>
      <c r="AM872" s="54"/>
    </row>
    <row r="873" spans="37:39" ht="15.75" customHeight="1" x14ac:dyDescent="0.3">
      <c r="AK873" s="54"/>
      <c r="AL873" s="54"/>
      <c r="AM873" s="54"/>
    </row>
    <row r="874" spans="37:39" ht="15.75" customHeight="1" x14ac:dyDescent="0.3">
      <c r="AK874" s="54"/>
      <c r="AL874" s="54"/>
      <c r="AM874" s="54"/>
    </row>
    <row r="875" spans="37:39" ht="15.75" customHeight="1" x14ac:dyDescent="0.3">
      <c r="AK875" s="54"/>
      <c r="AL875" s="54"/>
      <c r="AM875" s="54"/>
    </row>
    <row r="876" spans="37:39" ht="15.75" customHeight="1" x14ac:dyDescent="0.3">
      <c r="AK876" s="54"/>
      <c r="AL876" s="54"/>
      <c r="AM876" s="54"/>
    </row>
    <row r="877" spans="37:39" ht="15.75" customHeight="1" x14ac:dyDescent="0.3">
      <c r="AK877" s="54"/>
      <c r="AL877" s="54"/>
      <c r="AM877" s="54"/>
    </row>
    <row r="878" spans="37:39" ht="15.75" customHeight="1" x14ac:dyDescent="0.3">
      <c r="AK878" s="54"/>
      <c r="AL878" s="54"/>
      <c r="AM878" s="54"/>
    </row>
    <row r="879" spans="37:39" ht="15.75" customHeight="1" x14ac:dyDescent="0.3">
      <c r="AK879" s="54"/>
      <c r="AL879" s="54"/>
      <c r="AM879" s="54"/>
    </row>
    <row r="880" spans="37:39" ht="15.75" customHeight="1" x14ac:dyDescent="0.3">
      <c r="AK880" s="54"/>
      <c r="AL880" s="54"/>
      <c r="AM880" s="54"/>
    </row>
    <row r="881" spans="37:39" ht="15.75" customHeight="1" x14ac:dyDescent="0.3">
      <c r="AK881" s="54"/>
      <c r="AL881" s="54"/>
      <c r="AM881" s="54"/>
    </row>
    <row r="882" spans="37:39" ht="15.75" customHeight="1" x14ac:dyDescent="0.3">
      <c r="AK882" s="54"/>
      <c r="AL882" s="54"/>
      <c r="AM882" s="54"/>
    </row>
    <row r="883" spans="37:39" ht="15.75" customHeight="1" x14ac:dyDescent="0.3">
      <c r="AK883" s="54"/>
      <c r="AL883" s="54"/>
      <c r="AM883" s="54"/>
    </row>
    <row r="884" spans="37:39" ht="15.75" customHeight="1" x14ac:dyDescent="0.3">
      <c r="AK884" s="54"/>
      <c r="AL884" s="54"/>
      <c r="AM884" s="54"/>
    </row>
    <row r="885" spans="37:39" ht="15.75" customHeight="1" x14ac:dyDescent="0.3">
      <c r="AK885" s="54"/>
      <c r="AL885" s="54"/>
      <c r="AM885" s="54"/>
    </row>
    <row r="886" spans="37:39" ht="15.75" customHeight="1" x14ac:dyDescent="0.3">
      <c r="AK886" s="54"/>
      <c r="AL886" s="54"/>
      <c r="AM886" s="54"/>
    </row>
    <row r="887" spans="37:39" ht="15.75" customHeight="1" x14ac:dyDescent="0.3">
      <c r="AK887" s="54"/>
      <c r="AL887" s="54"/>
      <c r="AM887" s="54"/>
    </row>
    <row r="888" spans="37:39" ht="15.75" customHeight="1" x14ac:dyDescent="0.3">
      <c r="AK888" s="54"/>
      <c r="AL888" s="54"/>
      <c r="AM888" s="54"/>
    </row>
    <row r="889" spans="37:39" ht="15.75" customHeight="1" x14ac:dyDescent="0.3">
      <c r="AK889" s="54"/>
      <c r="AL889" s="54"/>
      <c r="AM889" s="54"/>
    </row>
    <row r="890" spans="37:39" ht="15.75" customHeight="1" x14ac:dyDescent="0.3">
      <c r="AK890" s="54"/>
      <c r="AL890" s="54"/>
      <c r="AM890" s="54"/>
    </row>
    <row r="891" spans="37:39" ht="15.75" customHeight="1" x14ac:dyDescent="0.3">
      <c r="AK891" s="54"/>
      <c r="AL891" s="54"/>
      <c r="AM891" s="54"/>
    </row>
    <row r="892" spans="37:39" ht="15.75" customHeight="1" x14ac:dyDescent="0.3">
      <c r="AK892" s="54"/>
      <c r="AL892" s="54"/>
      <c r="AM892" s="54"/>
    </row>
    <row r="893" spans="37:39" ht="15.75" customHeight="1" x14ac:dyDescent="0.3">
      <c r="AK893" s="54"/>
      <c r="AL893" s="54"/>
      <c r="AM893" s="54"/>
    </row>
    <row r="894" spans="37:39" ht="15.75" customHeight="1" x14ac:dyDescent="0.3">
      <c r="AK894" s="54"/>
      <c r="AL894" s="54"/>
      <c r="AM894" s="54"/>
    </row>
    <row r="895" spans="37:39" ht="15.75" customHeight="1" x14ac:dyDescent="0.3">
      <c r="AK895" s="54"/>
      <c r="AL895" s="54"/>
      <c r="AM895" s="54"/>
    </row>
    <row r="896" spans="37:39" ht="15.75" customHeight="1" x14ac:dyDescent="0.3">
      <c r="AK896" s="54"/>
      <c r="AL896" s="54"/>
      <c r="AM896" s="54"/>
    </row>
    <row r="897" spans="37:39" ht="15.75" customHeight="1" x14ac:dyDescent="0.3">
      <c r="AK897" s="54"/>
      <c r="AL897" s="54"/>
      <c r="AM897" s="54"/>
    </row>
    <row r="898" spans="37:39" ht="15.75" customHeight="1" x14ac:dyDescent="0.3">
      <c r="AK898" s="54"/>
      <c r="AL898" s="54"/>
      <c r="AM898" s="54"/>
    </row>
    <row r="899" spans="37:39" ht="15.75" customHeight="1" x14ac:dyDescent="0.3">
      <c r="AK899" s="54"/>
      <c r="AL899" s="54"/>
      <c r="AM899" s="54"/>
    </row>
    <row r="900" spans="37:39" ht="15.75" customHeight="1" x14ac:dyDescent="0.3">
      <c r="AK900" s="54"/>
      <c r="AL900" s="54"/>
      <c r="AM900" s="54"/>
    </row>
    <row r="901" spans="37:39" ht="15.75" customHeight="1" x14ac:dyDescent="0.3">
      <c r="AK901" s="54"/>
      <c r="AL901" s="54"/>
      <c r="AM901" s="54"/>
    </row>
    <row r="902" spans="37:39" ht="15.75" customHeight="1" x14ac:dyDescent="0.3">
      <c r="AK902" s="54"/>
      <c r="AL902" s="54"/>
      <c r="AM902" s="54"/>
    </row>
    <row r="903" spans="37:39" ht="15.75" customHeight="1" x14ac:dyDescent="0.3">
      <c r="AK903" s="54"/>
      <c r="AL903" s="54"/>
      <c r="AM903" s="54"/>
    </row>
    <row r="904" spans="37:39" ht="15.75" customHeight="1" x14ac:dyDescent="0.3">
      <c r="AK904" s="54"/>
      <c r="AL904" s="54"/>
      <c r="AM904" s="54"/>
    </row>
    <row r="905" spans="37:39" ht="15.75" customHeight="1" x14ac:dyDescent="0.3">
      <c r="AK905" s="54"/>
      <c r="AL905" s="54"/>
      <c r="AM905" s="54"/>
    </row>
    <row r="906" spans="37:39" ht="15.75" customHeight="1" x14ac:dyDescent="0.3">
      <c r="AK906" s="54"/>
      <c r="AL906" s="54"/>
      <c r="AM906" s="54"/>
    </row>
    <row r="907" spans="37:39" ht="15.75" customHeight="1" x14ac:dyDescent="0.3">
      <c r="AK907" s="54"/>
      <c r="AL907" s="54"/>
      <c r="AM907" s="54"/>
    </row>
    <row r="908" spans="37:39" ht="15.75" customHeight="1" x14ac:dyDescent="0.3">
      <c r="AK908" s="54"/>
      <c r="AL908" s="54"/>
      <c r="AM908" s="54"/>
    </row>
    <row r="909" spans="37:39" ht="15.75" customHeight="1" x14ac:dyDescent="0.3">
      <c r="AK909" s="54"/>
      <c r="AL909" s="54"/>
      <c r="AM909" s="54"/>
    </row>
    <row r="910" spans="37:39" ht="15.75" customHeight="1" x14ac:dyDescent="0.3">
      <c r="AK910" s="54"/>
      <c r="AL910" s="54"/>
      <c r="AM910" s="54"/>
    </row>
    <row r="911" spans="37:39" ht="15.75" customHeight="1" x14ac:dyDescent="0.3">
      <c r="AK911" s="54"/>
      <c r="AL911" s="54"/>
      <c r="AM911" s="54"/>
    </row>
    <row r="912" spans="37:39" ht="15.75" customHeight="1" x14ac:dyDescent="0.3">
      <c r="AK912" s="54"/>
      <c r="AL912" s="54"/>
      <c r="AM912" s="54"/>
    </row>
    <row r="913" spans="37:39" ht="15.75" customHeight="1" x14ac:dyDescent="0.3">
      <c r="AK913" s="54"/>
      <c r="AL913" s="54"/>
      <c r="AM913" s="54"/>
    </row>
    <row r="914" spans="37:39" ht="15.75" customHeight="1" x14ac:dyDescent="0.3">
      <c r="AK914" s="54"/>
      <c r="AL914" s="54"/>
      <c r="AM914" s="54"/>
    </row>
    <row r="915" spans="37:39" ht="15.75" customHeight="1" x14ac:dyDescent="0.3">
      <c r="AK915" s="54"/>
      <c r="AL915" s="54"/>
      <c r="AM915" s="54"/>
    </row>
    <row r="916" spans="37:39" ht="15.75" customHeight="1" x14ac:dyDescent="0.3">
      <c r="AK916" s="54"/>
      <c r="AL916" s="54"/>
      <c r="AM916" s="54"/>
    </row>
    <row r="917" spans="37:39" ht="15.75" customHeight="1" x14ac:dyDescent="0.3">
      <c r="AK917" s="54"/>
      <c r="AL917" s="54"/>
      <c r="AM917" s="54"/>
    </row>
    <row r="918" spans="37:39" ht="15.75" customHeight="1" x14ac:dyDescent="0.3">
      <c r="AK918" s="54"/>
      <c r="AL918" s="54"/>
      <c r="AM918" s="54"/>
    </row>
    <row r="919" spans="37:39" ht="15.75" customHeight="1" x14ac:dyDescent="0.3">
      <c r="AK919" s="54"/>
      <c r="AL919" s="54"/>
      <c r="AM919" s="54"/>
    </row>
    <row r="920" spans="37:39" ht="15.75" customHeight="1" x14ac:dyDescent="0.3">
      <c r="AK920" s="54"/>
      <c r="AL920" s="54"/>
      <c r="AM920" s="54"/>
    </row>
    <row r="921" spans="37:39" ht="15.75" customHeight="1" x14ac:dyDescent="0.3">
      <c r="AK921" s="54"/>
      <c r="AL921" s="54"/>
      <c r="AM921" s="54"/>
    </row>
    <row r="922" spans="37:39" ht="15.75" customHeight="1" x14ac:dyDescent="0.3">
      <c r="AK922" s="54"/>
      <c r="AL922" s="54"/>
      <c r="AM922" s="54"/>
    </row>
    <row r="923" spans="37:39" ht="15.75" customHeight="1" x14ac:dyDescent="0.3">
      <c r="AK923" s="54"/>
      <c r="AL923" s="54"/>
      <c r="AM923" s="54"/>
    </row>
    <row r="924" spans="37:39" ht="15.75" customHeight="1" x14ac:dyDescent="0.3">
      <c r="AK924" s="54"/>
      <c r="AL924" s="54"/>
      <c r="AM924" s="54"/>
    </row>
    <row r="925" spans="37:39" ht="15.75" customHeight="1" x14ac:dyDescent="0.3">
      <c r="AK925" s="54"/>
      <c r="AL925" s="54"/>
      <c r="AM925" s="54"/>
    </row>
    <row r="926" spans="37:39" ht="15.75" customHeight="1" x14ac:dyDescent="0.3">
      <c r="AK926" s="54"/>
      <c r="AL926" s="54"/>
      <c r="AM926" s="54"/>
    </row>
    <row r="927" spans="37:39" ht="15.75" customHeight="1" x14ac:dyDescent="0.3">
      <c r="AK927" s="54"/>
      <c r="AL927" s="54"/>
      <c r="AM927" s="54"/>
    </row>
    <row r="928" spans="37:39" ht="15.75" customHeight="1" x14ac:dyDescent="0.3">
      <c r="AK928" s="54"/>
      <c r="AL928" s="54"/>
      <c r="AM928" s="54"/>
    </row>
    <row r="929" spans="37:39" ht="15.75" customHeight="1" x14ac:dyDescent="0.3">
      <c r="AK929" s="54"/>
      <c r="AL929" s="54"/>
      <c r="AM929" s="54"/>
    </row>
    <row r="930" spans="37:39" ht="15.75" customHeight="1" x14ac:dyDescent="0.3">
      <c r="AK930" s="54"/>
      <c r="AL930" s="54"/>
      <c r="AM930" s="54"/>
    </row>
    <row r="931" spans="37:39" ht="15.75" customHeight="1" x14ac:dyDescent="0.3">
      <c r="AK931" s="54"/>
      <c r="AL931" s="54"/>
      <c r="AM931" s="54"/>
    </row>
    <row r="932" spans="37:39" ht="15.75" customHeight="1" x14ac:dyDescent="0.3">
      <c r="AK932" s="54"/>
      <c r="AL932" s="54"/>
      <c r="AM932" s="54"/>
    </row>
    <row r="933" spans="37:39" ht="15.75" customHeight="1" x14ac:dyDescent="0.3">
      <c r="AK933" s="54"/>
      <c r="AL933" s="54"/>
      <c r="AM933" s="54"/>
    </row>
    <row r="934" spans="37:39" ht="15.75" customHeight="1" x14ac:dyDescent="0.3">
      <c r="AK934" s="54"/>
      <c r="AL934" s="54"/>
      <c r="AM934" s="54"/>
    </row>
    <row r="935" spans="37:39" ht="15.75" customHeight="1" x14ac:dyDescent="0.3">
      <c r="AK935" s="54"/>
      <c r="AL935" s="54"/>
      <c r="AM935" s="54"/>
    </row>
    <row r="936" spans="37:39" ht="15.75" customHeight="1" x14ac:dyDescent="0.3">
      <c r="AK936" s="54"/>
      <c r="AL936" s="54"/>
      <c r="AM936" s="54"/>
    </row>
    <row r="937" spans="37:39" ht="15.75" customHeight="1" x14ac:dyDescent="0.3">
      <c r="AK937" s="54"/>
      <c r="AL937" s="54"/>
      <c r="AM937" s="54"/>
    </row>
    <row r="938" spans="37:39" ht="15.75" customHeight="1" x14ac:dyDescent="0.3">
      <c r="AK938" s="54"/>
      <c r="AL938" s="54"/>
      <c r="AM938" s="54"/>
    </row>
    <row r="939" spans="37:39" ht="15.75" customHeight="1" x14ac:dyDescent="0.3">
      <c r="AK939" s="54"/>
      <c r="AL939" s="54"/>
      <c r="AM939" s="54"/>
    </row>
    <row r="940" spans="37:39" ht="15.75" customHeight="1" x14ac:dyDescent="0.3">
      <c r="AK940" s="54"/>
      <c r="AL940" s="54"/>
      <c r="AM940" s="54"/>
    </row>
    <row r="941" spans="37:39" ht="15.75" customHeight="1" x14ac:dyDescent="0.3">
      <c r="AK941" s="54"/>
      <c r="AL941" s="54"/>
      <c r="AM941" s="54"/>
    </row>
    <row r="942" spans="37:39" ht="15.75" customHeight="1" x14ac:dyDescent="0.3">
      <c r="AK942" s="54"/>
      <c r="AL942" s="54"/>
      <c r="AM942" s="54"/>
    </row>
    <row r="943" spans="37:39" ht="15.75" customHeight="1" x14ac:dyDescent="0.3">
      <c r="AK943" s="54"/>
      <c r="AL943" s="54"/>
      <c r="AM943" s="54"/>
    </row>
    <row r="944" spans="37:39" ht="15.75" customHeight="1" x14ac:dyDescent="0.3">
      <c r="AK944" s="54"/>
      <c r="AL944" s="54"/>
      <c r="AM944" s="54"/>
    </row>
    <row r="945" spans="37:39" ht="15.75" customHeight="1" x14ac:dyDescent="0.3">
      <c r="AK945" s="54"/>
      <c r="AL945" s="54"/>
      <c r="AM945" s="54"/>
    </row>
    <row r="946" spans="37:39" ht="15.75" customHeight="1" x14ac:dyDescent="0.3">
      <c r="AK946" s="54"/>
      <c r="AL946" s="54"/>
      <c r="AM946" s="54"/>
    </row>
    <row r="947" spans="37:39" ht="15.75" customHeight="1" x14ac:dyDescent="0.3">
      <c r="AK947" s="54"/>
      <c r="AL947" s="54"/>
      <c r="AM947" s="54"/>
    </row>
    <row r="948" spans="37:39" ht="15.75" customHeight="1" x14ac:dyDescent="0.3">
      <c r="AK948" s="54"/>
      <c r="AL948" s="54"/>
      <c r="AM948" s="54"/>
    </row>
    <row r="949" spans="37:39" ht="15.75" customHeight="1" x14ac:dyDescent="0.3">
      <c r="AK949" s="54"/>
      <c r="AL949" s="54"/>
      <c r="AM949" s="54"/>
    </row>
    <row r="950" spans="37:39" ht="15.75" customHeight="1" x14ac:dyDescent="0.3">
      <c r="AK950" s="54"/>
      <c r="AL950" s="54"/>
      <c r="AM950" s="54"/>
    </row>
    <row r="951" spans="37:39" ht="15.75" customHeight="1" x14ac:dyDescent="0.3">
      <c r="AK951" s="54"/>
      <c r="AL951" s="54"/>
      <c r="AM951" s="54"/>
    </row>
    <row r="952" spans="37:39" ht="15.75" customHeight="1" x14ac:dyDescent="0.3">
      <c r="AK952" s="54"/>
      <c r="AL952" s="54"/>
      <c r="AM952" s="54"/>
    </row>
    <row r="953" spans="37:39" ht="15.75" customHeight="1" x14ac:dyDescent="0.3">
      <c r="AK953" s="54"/>
      <c r="AL953" s="54"/>
      <c r="AM953" s="54"/>
    </row>
    <row r="954" spans="37:39" ht="15.75" customHeight="1" x14ac:dyDescent="0.3">
      <c r="AK954" s="54"/>
      <c r="AL954" s="54"/>
      <c r="AM954" s="54"/>
    </row>
    <row r="955" spans="37:39" ht="15.75" customHeight="1" x14ac:dyDescent="0.3">
      <c r="AK955" s="54"/>
      <c r="AL955" s="54"/>
      <c r="AM955" s="54"/>
    </row>
    <row r="956" spans="37:39" ht="15.75" customHeight="1" x14ac:dyDescent="0.3">
      <c r="AK956" s="54"/>
      <c r="AL956" s="54"/>
      <c r="AM956" s="54"/>
    </row>
  </sheetData>
  <mergeCells count="77">
    <mergeCell ref="W8:AB8"/>
    <mergeCell ref="AC8:AI8"/>
    <mergeCell ref="E8:Q8"/>
    <mergeCell ref="A10:AI10"/>
    <mergeCell ref="Z12:AI21"/>
    <mergeCell ref="A18:E18"/>
    <mergeCell ref="F18:P18"/>
    <mergeCell ref="Q18:S18"/>
    <mergeCell ref="T18:Y18"/>
    <mergeCell ref="Q19:S19"/>
    <mergeCell ref="T19:Y19"/>
    <mergeCell ref="A19:E19"/>
    <mergeCell ref="W2:AI7"/>
    <mergeCell ref="E4:Q4"/>
    <mergeCell ref="D5:V5"/>
    <mergeCell ref="D6:V6"/>
    <mergeCell ref="E7:Q7"/>
    <mergeCell ref="Z11:AI11"/>
    <mergeCell ref="Q13:S13"/>
    <mergeCell ref="T13:Y13"/>
    <mergeCell ref="A14:E14"/>
    <mergeCell ref="F14:P14"/>
    <mergeCell ref="Q14:S14"/>
    <mergeCell ref="T14:Y14"/>
    <mergeCell ref="A17:E17"/>
    <mergeCell ref="F17:P17"/>
    <mergeCell ref="Q17:S17"/>
    <mergeCell ref="T17:Y17"/>
    <mergeCell ref="A11:E11"/>
    <mergeCell ref="F11:P11"/>
    <mergeCell ref="Q11:S11"/>
    <mergeCell ref="T11:Y11"/>
    <mergeCell ref="A12:E12"/>
    <mergeCell ref="F12:P12"/>
    <mergeCell ref="Q12:S12"/>
    <mergeCell ref="T12:Y12"/>
    <mergeCell ref="A13:E13"/>
    <mergeCell ref="F13:P13"/>
    <mergeCell ref="A15:E15"/>
    <mergeCell ref="F15:P15"/>
    <mergeCell ref="Q15:S15"/>
    <mergeCell ref="T15:Y15"/>
    <mergeCell ref="A16:E16"/>
    <mergeCell ref="F16:P16"/>
    <mergeCell ref="Q16:S16"/>
    <mergeCell ref="T16:Y16"/>
    <mergeCell ref="F19:P19"/>
    <mergeCell ref="A20:E20"/>
    <mergeCell ref="F20:P20"/>
    <mergeCell ref="Q20:S20"/>
    <mergeCell ref="T20:Y20"/>
    <mergeCell ref="AE23:AI23"/>
    <mergeCell ref="A21:E21"/>
    <mergeCell ref="F21:P21"/>
    <mergeCell ref="A23:B23"/>
    <mergeCell ref="C23:E23"/>
    <mergeCell ref="F23:H23"/>
    <mergeCell ref="I23:J23"/>
    <mergeCell ref="K23:M23"/>
    <mergeCell ref="Q21:S21"/>
    <mergeCell ref="T21:Y21"/>
    <mergeCell ref="N23:P23"/>
    <mergeCell ref="Q23:S23"/>
    <mergeCell ref="T23:V23"/>
    <mergeCell ref="W23:Z23"/>
    <mergeCell ref="AA23:AD23"/>
    <mergeCell ref="T24:V24"/>
    <mergeCell ref="W24:Z24"/>
    <mergeCell ref="AA24:AD24"/>
    <mergeCell ref="AE24:AI24"/>
    <mergeCell ref="A24:B24"/>
    <mergeCell ref="C24:E24"/>
    <mergeCell ref="F24:H24"/>
    <mergeCell ref="I24:J24"/>
    <mergeCell ref="K24:M24"/>
    <mergeCell ref="N24:P24"/>
    <mergeCell ref="Q24:S24"/>
  </mergeCells>
  <phoneticPr fontId="22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Archcos</dc:creator>
  <cp:lastModifiedBy>Arjay Charcos</cp:lastModifiedBy>
  <dcterms:created xsi:type="dcterms:W3CDTF">2026-06-04T07:35:14Z</dcterms:created>
  <dcterms:modified xsi:type="dcterms:W3CDTF">2026-06-08T06:29:06Z</dcterms:modified>
</cp:coreProperties>
</file>